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uador_Calculos" sheetId="1" state="visible" r:id="rId1"/>
    <sheet xmlns:r="http://schemas.openxmlformats.org/officeDocument/2006/relationships" name="Suiza_Calculos" sheetId="2" state="visible" r:id="rId2"/>
    <sheet xmlns:r="http://schemas.openxmlformats.org/officeDocument/2006/relationships" name="Comparativo_Indicadores" sheetId="3" state="visible" r:id="rId3"/>
    <sheet xmlns:r="http://schemas.openxmlformats.org/officeDocument/2006/relationships" name="Grafico_IDH" sheetId="4" state="visible" r:id="rId4"/>
    <sheet xmlns:r="http://schemas.openxmlformats.org/officeDocument/2006/relationships" name="Grafico_IHDI" sheetId="5" state="visible" r:id="rId5"/>
    <sheet xmlns:r="http://schemas.openxmlformats.org/officeDocument/2006/relationships" name="Grafico_PHDI" sheetId="6" state="visible" r:id="rId6"/>
    <sheet xmlns:r="http://schemas.openxmlformats.org/officeDocument/2006/relationships" name="Grafico_IDG_GII" sheetId="7" state="visible" r:id="rId7"/>
    <sheet xmlns:r="http://schemas.openxmlformats.org/officeDocument/2006/relationships" name="Metadatos_Diccionari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color rgb="000563C1"/>
      <sz val="11"/>
      <u val="single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  <fill>
      <patternFill patternType="solid">
        <fgColor rgb="004F5D73"/>
        <bgColor rgb="004F5D73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D3D3D3"/>
      </top>
      <bottom style="double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10" fontId="4" fillId="3" borderId="1" applyAlignment="1" pivotButton="0" quotePrefix="0" xfId="0">
      <alignment horizontal="right" vertical="center"/>
    </xf>
    <xf numFmtId="0" fontId="5" fillId="0" borderId="2" applyAlignment="1" pivotButton="0" quotePrefix="0" xfId="0">
      <alignment horizontal="center" vertical="center"/>
    </xf>
    <xf numFmtId="2" fontId="5" fillId="0" borderId="2" applyAlignment="1" pivotButton="0" quotePrefix="0" xfId="0">
      <alignment horizontal="right" vertical="center"/>
    </xf>
    <xf numFmtId="164" fontId="5" fillId="0" borderId="2" applyAlignment="1" pivotButton="0" quotePrefix="0" xfId="0">
      <alignment horizontal="right" vertical="center"/>
    </xf>
    <xf numFmtId="165" fontId="5" fillId="0" borderId="2" applyAlignment="1" pivotButton="0" quotePrefix="0" xfId="0">
      <alignment horizontal="right" vertical="center"/>
    </xf>
    <xf numFmtId="10" fontId="5" fillId="0" borderId="2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1" fillId="0" borderId="0" pivotButton="0" quotePrefix="0" xfId="0"/>
    <xf numFmtId="0" fontId="5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IDH Oficial: Ecuador vs Suiza</a:t>
            </a:r>
          </a:p>
        </rich>
      </tx>
    </title>
    <plotArea>
      <lineChart>
        <grouping val="standard"/>
        <ser>
          <idx val="0"/>
          <order val="0"/>
          <tx>
            <strRef>
              <f>'Comparativo_Indicadores'!B4</f>
            </strRef>
          </tx>
          <spPr>
            <a:ln xmlns:a="http://schemas.openxmlformats.org/drawingml/2006/main" w="38100">
              <a:solidFill>
                <a:srgbClr val="3498DB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solidFill>
                  <a:srgbClr val="3498DB"/>
                </a:solidFill>
                <a:prstDash val="solid"/>
              </a:ln>
            </spPr>
          </marker>
          <cat>
            <numRef>
              <f>'Comparativo_Indicadores'!$A$5:$A$25</f>
            </numRef>
          </cat>
          <val>
            <numRef>
              <f>'Comparativo_Indicadores'!$B$5:$B$25</f>
            </numRef>
          </val>
          <smooth val="1"/>
        </ser>
        <ser>
          <idx val="1"/>
          <order val="1"/>
          <tx>
            <strRef>
              <f>'Comparativo_Indicadores'!C4</f>
            </strRef>
          </tx>
          <spPr>
            <a:ln xmlns:a="http://schemas.openxmlformats.org/drawingml/2006/main" w="38100">
              <a:solidFill>
                <a:srgbClr val="2C3E50"/>
              </a:solidFill>
              <a:prstDash val="solid"/>
            </a:ln>
          </spPr>
          <marker>
            <symbol val="square"/>
            <size val="6"/>
            <spPr>
              <a:solidFill xmlns:a="http://schemas.openxmlformats.org/drawingml/2006/main">
                <a:srgbClr val="2C3E50"/>
              </a:solidFill>
              <a:ln xmlns:a="http://schemas.openxmlformats.org/drawingml/2006/main">
                <a:solidFill>
                  <a:srgbClr val="2C3E50"/>
                </a:solidFill>
                <a:prstDash val="solid"/>
              </a:ln>
            </spPr>
          </marker>
          <cat>
            <numRef>
              <f>'Comparativo_Indicadores'!$A$5:$A$25</f>
            </numRef>
          </cat>
          <val>
            <numRef>
              <f>'Comparativo_Indicadores'!$C$5:$C$25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Año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 del Índice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IDH Ajustado por Desigualdad (IHDI): Ecuador vs Suiza</a:t>
            </a:r>
          </a:p>
        </rich>
      </tx>
    </title>
    <plotArea>
      <lineChart>
        <grouping val="standard"/>
        <ser>
          <idx val="0"/>
          <order val="0"/>
          <tx>
            <strRef>
              <f>'Comparativo_Indicadores'!D4</f>
            </strRef>
          </tx>
          <spPr>
            <a:ln xmlns:a="http://schemas.openxmlformats.org/drawingml/2006/main" w="38100">
              <a:solidFill>
                <a:srgbClr val="F1C40F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solidFill>
                  <a:srgbClr val="F1C40F"/>
                </a:solidFill>
                <a:prstDash val="solid"/>
              </a:ln>
            </spPr>
          </marker>
          <cat>
            <numRef>
              <f>'Comparativo_Indicadores'!$A$5:$A$25</f>
            </numRef>
          </cat>
          <val>
            <numRef>
              <f>'Comparativo_Indicadores'!$D$5:$D$25</f>
            </numRef>
          </val>
          <smooth val="1"/>
        </ser>
        <ser>
          <idx val="1"/>
          <order val="1"/>
          <tx>
            <strRef>
              <f>'Comparativo_Indicadores'!E4</f>
            </strRef>
          </tx>
          <spPr>
            <a:ln xmlns:a="http://schemas.openxmlformats.org/drawingml/2006/main" w="38100">
              <a:solidFill>
                <a:srgbClr val="27AE60"/>
              </a:solidFill>
              <a:prstDash val="solid"/>
            </a:ln>
          </spPr>
          <marker>
            <symbol val="square"/>
            <size val="6"/>
            <spPr>
              <a:solidFill xmlns:a="http://schemas.openxmlformats.org/drawingml/2006/main">
                <a:srgbClr val="27AE60"/>
              </a:solidFill>
              <a:ln xmlns:a="http://schemas.openxmlformats.org/drawingml/2006/main">
                <a:solidFill>
                  <a:srgbClr val="27AE60"/>
                </a:solidFill>
                <a:prstDash val="solid"/>
              </a:ln>
            </spPr>
          </marker>
          <cat>
            <numRef>
              <f>'Comparativo_Indicadores'!$A$5:$A$25</f>
            </numRef>
          </cat>
          <val>
            <numRef>
              <f>'Comparativo_Indicadores'!$E$5:$E$25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Año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 del Índice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IDH Ajustado por Presiones Planetarias (PHDI)</a:t>
            </a:r>
          </a:p>
        </rich>
      </tx>
    </title>
    <plotArea>
      <lineChart>
        <grouping val="standard"/>
        <ser>
          <idx val="0"/>
          <order val="0"/>
          <tx>
            <strRef>
              <f>'Comparativo_Indicadores'!F4</f>
            </strRef>
          </tx>
          <spPr>
            <a:ln xmlns:a="http://schemas.openxmlformats.org/drawingml/2006/main" w="38100">
              <a:solidFill>
                <a:srgbClr val="16A085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16A085"/>
              </a:solidFill>
              <a:ln xmlns:a="http://schemas.openxmlformats.org/drawingml/2006/main">
                <a:solidFill>
                  <a:srgbClr val="16A085"/>
                </a:solidFill>
                <a:prstDash val="solid"/>
              </a:ln>
            </spPr>
          </marker>
          <cat>
            <numRef>
              <f>'Comparativo_Indicadores'!$A$5:$A$25</f>
            </numRef>
          </cat>
          <val>
            <numRef>
              <f>'Comparativo_Indicadores'!$F$5:$F$25</f>
            </numRef>
          </val>
          <smooth val="1"/>
        </ser>
        <ser>
          <idx val="1"/>
          <order val="1"/>
          <tx>
            <strRef>
              <f>'Comparativo_Indicadores'!G4</f>
            </strRef>
          </tx>
          <spPr>
            <a:ln xmlns:a="http://schemas.openxmlformats.org/drawingml/2006/main" w="38100">
              <a:solidFill>
                <a:srgbClr val="8E44AD"/>
              </a:solidFill>
              <a:prstDash val="solid"/>
            </a:ln>
          </spPr>
          <marker>
            <symbol val="square"/>
            <size val="6"/>
            <spPr>
              <a:solidFill xmlns:a="http://schemas.openxmlformats.org/drawingml/2006/main">
                <a:srgbClr val="8E44AD"/>
              </a:solidFill>
              <a:ln xmlns:a="http://schemas.openxmlformats.org/drawingml/2006/main">
                <a:solidFill>
                  <a:srgbClr val="8E44AD"/>
                </a:solidFill>
                <a:prstDash val="solid"/>
              </a:ln>
            </spPr>
          </marker>
          <cat>
            <numRef>
              <f>'Comparativo_Indicadores'!$A$5:$A$25</f>
            </numRef>
          </cat>
          <val>
            <numRef>
              <f>'Comparativo_Indicadores'!$G$5:$G$25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Año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 del Índice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Índice de Desigualdad de Género (IDG / GII)</a:t>
            </a:r>
          </a:p>
        </rich>
      </tx>
    </title>
    <plotArea>
      <lineChart>
        <grouping val="standard"/>
        <ser>
          <idx val="0"/>
          <order val="0"/>
          <tx>
            <strRef>
              <f>'Comparativo_Indicadores'!H4</f>
            </strRef>
          </tx>
          <spPr>
            <a:ln xmlns:a="http://schemas.openxmlformats.org/drawingml/2006/main" w="38100">
              <a:solidFill>
                <a:srgbClr val="D35400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D35400"/>
              </a:solidFill>
              <a:ln xmlns:a="http://schemas.openxmlformats.org/drawingml/2006/main">
                <a:solidFill>
                  <a:srgbClr val="D35400"/>
                </a:solidFill>
                <a:prstDash val="solid"/>
              </a:ln>
            </spPr>
          </marker>
          <cat>
            <numRef>
              <f>'Comparativo_Indicadores'!$A$5:$A$25</f>
            </numRef>
          </cat>
          <val>
            <numRef>
              <f>'Comparativo_Indicadores'!$H$5:$H$25</f>
            </numRef>
          </val>
          <smooth val="1"/>
        </ser>
        <ser>
          <idx val="1"/>
          <order val="1"/>
          <tx>
            <strRef>
              <f>'Comparativo_Indicadores'!I4</f>
            </strRef>
          </tx>
          <spPr>
            <a:ln xmlns:a="http://schemas.openxmlformats.org/drawingml/2006/main" w="38100">
              <a:solidFill>
                <a:srgbClr val="C0392B"/>
              </a:solidFill>
              <a:prstDash val="solid"/>
            </a:ln>
          </spPr>
          <marker>
            <symbol val="square"/>
            <size val="6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cat>
            <numRef>
              <f>'Comparativo_Indicadores'!$A$5:$A$25</f>
            </numRef>
          </cat>
          <val>
            <numRef>
              <f>'Comparativo_Indicadores'!$I$5:$I$25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Año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 (Menos es Mejor)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hdr.undp.org/data-center" TargetMode="External" Id="rId1"/><Relationship Type="http://schemas.openxmlformats.org/officeDocument/2006/relationships/hyperlink" Target="https://hdr.undp.org/data-center" TargetMode="External" Id="rId2"/><Relationship Type="http://schemas.openxmlformats.org/officeDocument/2006/relationships/hyperlink" Target="https://hdr.undp.org/data-center" TargetMode="External" Id="rId3"/><Relationship Type="http://schemas.openxmlformats.org/officeDocument/2006/relationships/hyperlink" Target="https://hdr.undp.org/data-center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showGridLines="1" workbookViewId="0">
      <selection activeCell="A1" sqref="A1"/>
    </sheetView>
  </sheetViews>
  <sheetFormatPr baseColWidth="8" defaultRowHeight="15"/>
  <cols>
    <col width="124" customWidth="1" min="1" max="1"/>
    <col width="20" customWidth="1" min="2" max="2"/>
    <col width="26" customWidth="1" min="3" max="3"/>
    <col width="20" customWidth="1" min="4" max="4"/>
    <col width="20" customWidth="1" min="5" max="5"/>
    <col width="20" customWidth="1" min="6" max="6"/>
    <col width="21" customWidth="1" min="7" max="7"/>
    <col width="28" customWidth="1" min="8" max="8"/>
    <col width="28" customWidth="1" min="9" max="9"/>
    <col width="53" customWidth="1" min="10" max="10"/>
    <col width="24" customWidth="1" min="11" max="11"/>
    <col width="25" customWidth="1" min="12" max="12"/>
    <col width="27" customWidth="1" min="13" max="13"/>
    <col width="26" customWidth="1" min="14" max="14"/>
    <col width="29" customWidth="1" min="15" max="15"/>
    <col width="25" customWidth="1" min="16" max="16"/>
    <col width="34" customWidth="1" min="17" max="17"/>
  </cols>
  <sheetData>
    <row r="1" ht="30" customHeight="1">
      <c r="A1" s="1" t="inlineStr">
        <is>
          <t>Indicadores de Desarrollo Humano (IDH, IHDI, PHDI, IDG) - Ecuador (2000-2020)</t>
        </is>
      </c>
    </row>
    <row r="2">
      <c r="A2" s="2" t="inlineStr">
        <is>
          <t>Materia: Desarrollo Económico | Taller: Análisis Comparativo Internacional | Estudiante: Erick Fabricio Condoy Seraquive</t>
        </is>
      </c>
    </row>
    <row r="3"/>
    <row r="4" ht="25" customHeight="1">
      <c r="A4" s="3" t="inlineStr">
        <is>
          <t>Año</t>
        </is>
      </c>
      <c r="B4" s="3" t="inlineStr">
        <is>
          <t>Esp. Vida (Años)</t>
        </is>
      </c>
      <c r="C4" s="3" t="inlineStr">
        <is>
          <t>Índice Salud (I_Salud)</t>
        </is>
      </c>
      <c r="D4" s="3" t="inlineStr">
        <is>
          <t>Años Esp. Esc.</t>
        </is>
      </c>
      <c r="E4" s="3" t="inlineStr">
        <is>
          <t>Índice Años Esp.</t>
        </is>
      </c>
      <c r="F4" s="3" t="inlineStr">
        <is>
          <t>Años Prom. Esc.</t>
        </is>
      </c>
      <c r="G4" s="3" t="inlineStr">
        <is>
          <t>Índice Años Prom.</t>
        </is>
      </c>
      <c r="H4" s="3" t="inlineStr">
        <is>
          <t>Índice Educación (I_Edu)</t>
        </is>
      </c>
      <c r="I4" s="3" t="inlineStr">
        <is>
          <t>INB per cápita PPA (USD)</t>
        </is>
      </c>
      <c r="J4" s="3" t="inlineStr">
        <is>
          <t>Índice Ingresos (I_Ing)</t>
        </is>
      </c>
      <c r="K4" s="3" t="inlineStr">
        <is>
          <t>Tasa Desempleo (%)</t>
        </is>
      </c>
      <c r="L4" s="3" t="inlineStr">
        <is>
          <t>Índice Empleo (I_Emp)</t>
        </is>
      </c>
      <c r="M4" s="3" t="inlineStr">
        <is>
          <t>IDH Oficial (Calculado)</t>
        </is>
      </c>
      <c r="N4" s="3" t="inlineStr">
        <is>
          <t>IDH Oficial (PNUD Raw)</t>
        </is>
      </c>
      <c r="O4" s="3" t="inlineStr">
        <is>
          <t>IHDI (Ajust. Desigualdad)</t>
        </is>
      </c>
      <c r="P4" s="3" t="inlineStr">
        <is>
          <t>PHDI (Ajust. Planeta)</t>
        </is>
      </c>
      <c r="Q4" s="3" t="inlineStr">
        <is>
          <t>IDG / GII (Desigualdad Género)</t>
        </is>
      </c>
    </row>
    <row r="5" ht="20" customHeight="1">
      <c r="A5" s="4" t="inlineStr">
        <is>
          <t>2000</t>
        </is>
      </c>
      <c r="B5" s="5" t="n">
        <v>72.09</v>
      </c>
      <c r="C5" s="5">
        <f>(B5-20)/65</f>
        <v/>
      </c>
      <c r="D5" s="5" t="n">
        <v>12.678963</v>
      </c>
      <c r="E5" s="5">
        <f>D5/18</f>
        <v/>
      </c>
      <c r="F5" s="5" t="n">
        <v>7.320588</v>
      </c>
      <c r="G5" s="5">
        <f>F5/15</f>
        <v/>
      </c>
      <c r="H5" s="5">
        <f>(E5+G5)/2</f>
        <v/>
      </c>
      <c r="I5" s="6" t="n">
        <v>8323.214277999999</v>
      </c>
      <c r="J5" s="5">
        <f>(LN(MIN(I5,75000))-LN(100))/(LN(75000)-LN(100))</f>
        <v/>
      </c>
      <c r="K5" s="7" t="n">
        <v>0.048</v>
      </c>
      <c r="L5" s="5">
        <f>(0.15-K5)/0.15</f>
        <v/>
      </c>
      <c r="M5" s="5">
        <f>(C5*H5*J5)^(1/3)</f>
        <v/>
      </c>
      <c r="N5" s="5" t="n">
        <v>0.6830000000000001</v>
      </c>
      <c r="O5" s="5" t="inlineStr"/>
      <c r="P5" s="5" t="n">
        <v>0.653</v>
      </c>
      <c r="Q5" s="5" t="n">
        <v>0.511</v>
      </c>
    </row>
    <row r="6" ht="20" customHeight="1">
      <c r="A6" s="8" t="inlineStr">
        <is>
          <t>2001</t>
        </is>
      </c>
      <c r="B6" s="9" t="n">
        <v>72.571</v>
      </c>
      <c r="C6" s="9">
        <f>(B6-20)/65</f>
        <v/>
      </c>
      <c r="D6" s="9" t="n">
        <v>12.838594</v>
      </c>
      <c r="E6" s="9">
        <f>D6/18</f>
        <v/>
      </c>
      <c r="F6" s="9" t="n">
        <v>7.377647</v>
      </c>
      <c r="G6" s="9">
        <f>F6/15</f>
        <v/>
      </c>
      <c r="H6" s="9">
        <f>(E6+G6)/2</f>
        <v/>
      </c>
      <c r="I6" s="10" t="n">
        <v>8886.140670000001</v>
      </c>
      <c r="J6" s="9">
        <f>(LN(MIN(I6,75000))-LN(100))/(LN(75000)-LN(100))</f>
        <v/>
      </c>
      <c r="K6" s="11" t="n">
        <v>0.0425</v>
      </c>
      <c r="L6" s="9">
        <f>(0.15-K6)/0.15</f>
        <v/>
      </c>
      <c r="M6" s="9">
        <f>(C6*H6*J6)^(1/3)</f>
        <v/>
      </c>
      <c r="N6" s="9" t="n">
        <v>0.6909999999999999</v>
      </c>
      <c r="O6" s="9" t="inlineStr"/>
      <c r="P6" s="9" t="n">
        <v>0.656</v>
      </c>
      <c r="Q6" s="9" t="n">
        <v>0.498</v>
      </c>
    </row>
    <row r="7" ht="20" customHeight="1">
      <c r="A7" s="4" t="inlineStr">
        <is>
          <t>2002</t>
        </is>
      </c>
      <c r="B7" s="5" t="n">
        <v>73.164</v>
      </c>
      <c r="C7" s="5">
        <f>(B7-20)/65</f>
        <v/>
      </c>
      <c r="D7" s="5" t="n">
        <v>12.998226</v>
      </c>
      <c r="E7" s="5">
        <f>D7/18</f>
        <v/>
      </c>
      <c r="F7" s="5" t="n">
        <v>7.434706</v>
      </c>
      <c r="G7" s="5">
        <f>F7/15</f>
        <v/>
      </c>
      <c r="H7" s="5">
        <f>(E7+G7)/2</f>
        <v/>
      </c>
      <c r="I7" s="6" t="n">
        <v>9274.740836000001</v>
      </c>
      <c r="J7" s="5">
        <f>(LN(MIN(I7,75000))-LN(100))/(LN(75000)-LN(100))</f>
        <v/>
      </c>
      <c r="K7" s="7" t="n">
        <v>0.0484</v>
      </c>
      <c r="L7" s="5">
        <f>(0.15-K7)/0.15</f>
        <v/>
      </c>
      <c r="M7" s="5">
        <f>(C7*H7*J7)^(1/3)</f>
        <v/>
      </c>
      <c r="N7" s="5" t="n">
        <v>0.698</v>
      </c>
      <c r="O7" s="5" t="inlineStr"/>
      <c r="P7" s="5" t="n">
        <v>0.661</v>
      </c>
      <c r="Q7" s="5" t="n">
        <v>0.494</v>
      </c>
    </row>
    <row r="8" ht="20" customHeight="1">
      <c r="A8" s="8" t="inlineStr">
        <is>
          <t>2003</t>
        </is>
      </c>
      <c r="B8" s="9" t="n">
        <v>73.63200000000001</v>
      </c>
      <c r="C8" s="9">
        <f>(B8-20)/65</f>
        <v/>
      </c>
      <c r="D8" s="9" t="n">
        <v>13.157857</v>
      </c>
      <c r="E8" s="9">
        <f>D8/18</f>
        <v/>
      </c>
      <c r="F8" s="9" t="n">
        <v>7.491765</v>
      </c>
      <c r="G8" s="9">
        <f>F8/15</f>
        <v/>
      </c>
      <c r="H8" s="9">
        <f>(E8+G8)/2</f>
        <v/>
      </c>
      <c r="I8" s="10" t="n">
        <v>9365.832200000001</v>
      </c>
      <c r="J8" s="9">
        <f>(LN(MIN(I8,75000))-LN(100))/(LN(75000)-LN(100))</f>
        <v/>
      </c>
      <c r="K8" s="11" t="n">
        <v>0.0566</v>
      </c>
      <c r="L8" s="9">
        <f>(0.15-K8)/0.15</f>
        <v/>
      </c>
      <c r="M8" s="9">
        <f>(C8*H8*J8)^(1/3)</f>
        <v/>
      </c>
      <c r="N8" s="9" t="n">
        <v>0.703</v>
      </c>
      <c r="O8" s="9" t="inlineStr"/>
      <c r="P8" s="9" t="n">
        <v>0.666</v>
      </c>
      <c r="Q8" s="9" t="n">
        <v>0.486</v>
      </c>
    </row>
    <row r="9" ht="20" customHeight="1">
      <c r="A9" s="4" t="inlineStr">
        <is>
          <t>2004</t>
        </is>
      </c>
      <c r="B9" s="5" t="n">
        <v>73.86799999999999</v>
      </c>
      <c r="C9" s="5">
        <f>(B9-20)/65</f>
        <v/>
      </c>
      <c r="D9" s="5" t="n">
        <v>13.317488</v>
      </c>
      <c r="E9" s="5">
        <f>D9/18</f>
        <v/>
      </c>
      <c r="F9" s="5" t="n">
        <v>7.548823</v>
      </c>
      <c r="G9" s="5">
        <f>F9/15</f>
        <v/>
      </c>
      <c r="H9" s="5">
        <f>(E9+G9)/2</f>
        <v/>
      </c>
      <c r="I9" s="6" t="n">
        <v>9819.926380000001</v>
      </c>
      <c r="J9" s="5">
        <f>(LN(MIN(I9,75000))-LN(100))/(LN(75000)-LN(100))</f>
        <v/>
      </c>
      <c r="K9" s="7" t="n">
        <v>0.05</v>
      </c>
      <c r="L9" s="5">
        <f>(0.15-K9)/0.15</f>
        <v/>
      </c>
      <c r="M9" s="5">
        <f>(C9*H9*J9)^(1/3)</f>
        <v/>
      </c>
      <c r="N9" s="5" t="n">
        <v>0.709</v>
      </c>
      <c r="O9" s="5" t="inlineStr"/>
      <c r="P9" s="5" t="n">
        <v>0.671</v>
      </c>
      <c r="Q9" s="5" t="n">
        <v>0.478</v>
      </c>
    </row>
    <row r="10" ht="20" customHeight="1">
      <c r="A10" s="8" t="inlineStr">
        <is>
          <t>2005</t>
        </is>
      </c>
      <c r="B10" s="9" t="n">
        <v>73.90900000000001</v>
      </c>
      <c r="C10" s="9">
        <f>(B10-20)/65</f>
        <v/>
      </c>
      <c r="D10" s="9" t="n">
        <v>13.47712</v>
      </c>
      <c r="E10" s="9">
        <f>D10/18</f>
        <v/>
      </c>
      <c r="F10" s="9" t="n">
        <v>7.605882</v>
      </c>
      <c r="G10" s="9">
        <f>F10/15</f>
        <v/>
      </c>
      <c r="H10" s="9">
        <f>(E10+G10)/2</f>
        <v/>
      </c>
      <c r="I10" s="10" t="n">
        <v>10230.04875</v>
      </c>
      <c r="J10" s="9">
        <f>(LN(MIN(I10,75000))-LN(100))/(LN(75000)-LN(100))</f>
        <v/>
      </c>
      <c r="K10" s="11" t="n">
        <v>0.0378</v>
      </c>
      <c r="L10" s="9">
        <f>(0.15-K10)/0.15</f>
        <v/>
      </c>
      <c r="M10" s="9">
        <f>(C10*H10*J10)^(1/3)</f>
        <v/>
      </c>
      <c r="N10" s="9" t="n">
        <v>0.714</v>
      </c>
      <c r="O10" s="9" t="inlineStr"/>
      <c r="P10" s="9" t="n">
        <v>0.675</v>
      </c>
      <c r="Q10" s="9" t="n">
        <v>0.477</v>
      </c>
    </row>
    <row r="11" ht="20" customHeight="1">
      <c r="A11" s="4" t="inlineStr">
        <is>
          <t>2006</t>
        </is>
      </c>
      <c r="B11" s="5" t="n">
        <v>74.01000000000001</v>
      </c>
      <c r="C11" s="5">
        <f>(B11-20)/65</f>
        <v/>
      </c>
      <c r="D11" s="5" t="n">
        <v>13.636751</v>
      </c>
      <c r="E11" s="5">
        <f>D11/18</f>
        <v/>
      </c>
      <c r="F11" s="5" t="n">
        <v>7.662941</v>
      </c>
      <c r="G11" s="5">
        <f>F11/15</f>
        <v/>
      </c>
      <c r="H11" s="5">
        <f>(E11+G11)/2</f>
        <v/>
      </c>
      <c r="I11" s="6" t="n">
        <v>10529.69535</v>
      </c>
      <c r="J11" s="5">
        <f>(LN(MIN(I11,75000))-LN(100))/(LN(75000)-LN(100))</f>
        <v/>
      </c>
      <c r="K11" s="7" t="n">
        <v>0.0355</v>
      </c>
      <c r="L11" s="5">
        <f>(0.15-K11)/0.15</f>
        <v/>
      </c>
      <c r="M11" s="5">
        <f>(C11*H11*J11)^(1/3)</f>
        <v/>
      </c>
      <c r="N11" s="5" t="n">
        <v>0.718</v>
      </c>
      <c r="O11" s="5" t="inlineStr"/>
      <c r="P11" s="5" t="n">
        <v>0.678</v>
      </c>
      <c r="Q11" s="5" t="n">
        <v>0.452</v>
      </c>
    </row>
    <row r="12" ht="20" customHeight="1">
      <c r="A12" s="8" t="inlineStr">
        <is>
          <t>2007</t>
        </is>
      </c>
      <c r="B12" s="9" t="n">
        <v>74.226</v>
      </c>
      <c r="C12" s="9">
        <f>(B12-20)/65</f>
        <v/>
      </c>
      <c r="D12" s="9" t="n">
        <v>13.796383</v>
      </c>
      <c r="E12" s="9">
        <f>D12/18</f>
        <v/>
      </c>
      <c r="F12" s="9" t="n">
        <v>7.72</v>
      </c>
      <c r="G12" s="9">
        <f>F12/15</f>
        <v/>
      </c>
      <c r="H12" s="9">
        <f>(E12+G12)/2</f>
        <v/>
      </c>
      <c r="I12" s="10" t="n">
        <v>10539.34321</v>
      </c>
      <c r="J12" s="9">
        <f>(LN(MIN(I12,75000))-LN(100))/(LN(75000)-LN(100))</f>
        <v/>
      </c>
      <c r="K12" s="11" t="n">
        <v>0.0314</v>
      </c>
      <c r="L12" s="9">
        <f>(0.15-K12)/0.15</f>
        <v/>
      </c>
      <c r="M12" s="9">
        <f>(C12*H12*J12)^(1/3)</f>
        <v/>
      </c>
      <c r="N12" s="9" t="n">
        <v>0.722</v>
      </c>
      <c r="O12" s="9" t="inlineStr"/>
      <c r="P12" s="9" t="n">
        <v>0.68</v>
      </c>
      <c r="Q12" s="9" t="n">
        <v>0.451</v>
      </c>
    </row>
    <row r="13" ht="20" customHeight="1">
      <c r="A13" s="4" t="inlineStr">
        <is>
          <t>2008</t>
        </is>
      </c>
      <c r="B13" s="5" t="n">
        <v>74.709</v>
      </c>
      <c r="C13" s="5">
        <f>(B13-20)/65</f>
        <v/>
      </c>
      <c r="D13" s="5" t="n">
        <v>13.956014</v>
      </c>
      <c r="E13" s="5">
        <f>D13/18</f>
        <v/>
      </c>
      <c r="F13" s="5" t="n">
        <v>7.73</v>
      </c>
      <c r="G13" s="5">
        <f>F13/15</f>
        <v/>
      </c>
      <c r="H13" s="5">
        <f>(E13+G13)/2</f>
        <v/>
      </c>
      <c r="I13" s="6" t="n">
        <v>11221.62492</v>
      </c>
      <c r="J13" s="5">
        <f>(LN(MIN(I13,75000))-LN(100))/(LN(75000)-LN(100))</f>
        <v/>
      </c>
      <c r="K13" s="7" t="n">
        <v>0.0392</v>
      </c>
      <c r="L13" s="5">
        <f>(0.15-K13)/0.15</f>
        <v/>
      </c>
      <c r="M13" s="5">
        <f>(C13*H13*J13)^(1/3)</f>
        <v/>
      </c>
      <c r="N13" s="5" t="n">
        <v>0.729</v>
      </c>
      <c r="O13" s="5" t="inlineStr"/>
      <c r="P13" s="5" t="n">
        <v>0.6860000000000001</v>
      </c>
      <c r="Q13" s="5" t="n">
        <v>0.452</v>
      </c>
    </row>
    <row r="14" ht="20" customHeight="1">
      <c r="A14" s="8" t="inlineStr">
        <is>
          <t>2009</t>
        </is>
      </c>
      <c r="B14" s="9" t="n">
        <v>74.901</v>
      </c>
      <c r="C14" s="9">
        <f>(B14-20)/65</f>
        <v/>
      </c>
      <c r="D14" s="9" t="n">
        <v>14.115645</v>
      </c>
      <c r="E14" s="9">
        <f>D14/18</f>
        <v/>
      </c>
      <c r="F14" s="9" t="n">
        <v>7.74</v>
      </c>
      <c r="G14" s="9">
        <f>F14/15</f>
        <v/>
      </c>
      <c r="H14" s="9">
        <f>(E14+G14)/2</f>
        <v/>
      </c>
      <c r="I14" s="10" t="n">
        <v>11199.37793</v>
      </c>
      <c r="J14" s="9">
        <f>(LN(MIN(I14,75000))-LN(100))/(LN(75000)-LN(100))</f>
        <v/>
      </c>
      <c r="K14" s="11" t="n">
        <v>0.0461</v>
      </c>
      <c r="L14" s="9">
        <f>(0.15-K14)/0.15</f>
        <v/>
      </c>
      <c r="M14" s="9">
        <f>(C14*H14*J14)^(1/3)</f>
        <v/>
      </c>
      <c r="N14" s="9" t="n">
        <v>0.731</v>
      </c>
      <c r="O14" s="9" t="inlineStr"/>
      <c r="P14" s="9" t="n">
        <v>0.6840000000000001</v>
      </c>
      <c r="Q14" s="9" t="n">
        <v>0.439</v>
      </c>
    </row>
    <row r="15" ht="20" customHeight="1">
      <c r="A15" s="4" t="inlineStr">
        <is>
          <t>2010</t>
        </is>
      </c>
      <c r="B15" s="5" t="n">
        <v>75.188</v>
      </c>
      <c r="C15" s="5">
        <f>(B15-20)/65</f>
        <v/>
      </c>
      <c r="D15" s="5" t="n">
        <v>14.275277</v>
      </c>
      <c r="E15" s="5">
        <f>D15/18</f>
        <v/>
      </c>
      <c r="F15" s="5" t="n">
        <v>7.85</v>
      </c>
      <c r="G15" s="5">
        <f>F15/15</f>
        <v/>
      </c>
      <c r="H15" s="5">
        <f>(E15+G15)/2</f>
        <v/>
      </c>
      <c r="I15" s="6" t="n">
        <v>11527.80559</v>
      </c>
      <c r="J15" s="5">
        <f>(LN(MIN(I15,75000))-LN(100))/(LN(75000)-LN(100))</f>
        <v/>
      </c>
      <c r="K15" s="7" t="n">
        <v>0.0409</v>
      </c>
      <c r="L15" s="5">
        <f>(0.15-K15)/0.15</f>
        <v/>
      </c>
      <c r="M15" s="5">
        <f>(C15*H15*J15)^(1/3)</f>
        <v/>
      </c>
      <c r="N15" s="5" t="n">
        <v>0.737</v>
      </c>
      <c r="O15" s="5" t="n">
        <v>0.577</v>
      </c>
      <c r="P15" s="5" t="n">
        <v>0.6889999999999999</v>
      </c>
      <c r="Q15" s="5" t="n">
        <v>0.431</v>
      </c>
    </row>
    <row r="16" ht="20" customHeight="1">
      <c r="A16" s="8" t="inlineStr">
        <is>
          <t>2011</t>
        </is>
      </c>
      <c r="B16" s="9" t="n">
        <v>75.179</v>
      </c>
      <c r="C16" s="9">
        <f>(B16-20)/65</f>
        <v/>
      </c>
      <c r="D16" s="9" t="n">
        <v>14.434908</v>
      </c>
      <c r="E16" s="9">
        <f>D16/18</f>
        <v/>
      </c>
      <c r="F16" s="9" t="n">
        <v>7.91</v>
      </c>
      <c r="G16" s="9">
        <f>F16/15</f>
        <v/>
      </c>
      <c r="H16" s="9">
        <f>(E16+G16)/2</f>
        <v/>
      </c>
      <c r="I16" s="10" t="n">
        <v>12289.46056</v>
      </c>
      <c r="J16" s="9">
        <f>(LN(MIN(I16,75000))-LN(100))/(LN(75000)-LN(100))</f>
        <v/>
      </c>
      <c r="K16" s="11" t="n">
        <v>0.0346</v>
      </c>
      <c r="L16" s="9">
        <f>(0.15-K16)/0.15</f>
        <v/>
      </c>
      <c r="M16" s="9">
        <f>(C16*H16*J16)^(1/3)</f>
        <v/>
      </c>
      <c r="N16" s="9" t="n">
        <v>0.743</v>
      </c>
      <c r="O16" s="9" t="n">
        <v>0.596</v>
      </c>
      <c r="P16" s="9" t="n">
        <v>0.694</v>
      </c>
      <c r="Q16" s="9" t="n">
        <v>0.429</v>
      </c>
    </row>
    <row r="17" ht="20" customHeight="1">
      <c r="A17" s="4" t="inlineStr">
        <is>
          <t>2012</t>
        </is>
      </c>
      <c r="B17" s="5" t="n">
        <v>75.486</v>
      </c>
      <c r="C17" s="5">
        <f>(B17-20)/65</f>
        <v/>
      </c>
      <c r="D17" s="5" t="n">
        <v>14.59454</v>
      </c>
      <c r="E17" s="5">
        <f>D17/18</f>
        <v/>
      </c>
      <c r="F17" s="5" t="n">
        <v>8.1</v>
      </c>
      <c r="G17" s="5">
        <f>F17/15</f>
        <v/>
      </c>
      <c r="H17" s="5">
        <f>(E17+G17)/2</f>
        <v/>
      </c>
      <c r="I17" s="6" t="n">
        <v>12818.23313</v>
      </c>
      <c r="J17" s="5">
        <f>(LN(MIN(I17,75000))-LN(100))/(LN(75000)-LN(100))</f>
        <v/>
      </c>
      <c r="K17" s="7" t="n">
        <v>0.03240000000000001</v>
      </c>
      <c r="L17" s="5">
        <f>(0.15-K17)/0.15</f>
        <v/>
      </c>
      <c r="M17" s="5">
        <f>(C17*H17*J17)^(1/3)</f>
        <v/>
      </c>
      <c r="N17" s="5" t="n">
        <v>0.75</v>
      </c>
      <c r="O17" s="5" t="n">
        <v>0.598</v>
      </c>
      <c r="P17" s="5" t="n">
        <v>0.708</v>
      </c>
      <c r="Q17" s="5" t="n">
        <v>0.424</v>
      </c>
    </row>
    <row r="18" ht="20" customHeight="1">
      <c r="A18" s="8" t="inlineStr">
        <is>
          <t>2013</t>
        </is>
      </c>
      <c r="B18" s="9" t="n">
        <v>75.83199999999999</v>
      </c>
      <c r="C18" s="9">
        <f>(B18-20)/65</f>
        <v/>
      </c>
      <c r="D18" s="9" t="n">
        <v>14.39854</v>
      </c>
      <c r="E18" s="9">
        <f>D18/18</f>
        <v/>
      </c>
      <c r="F18" s="9" t="n">
        <v>8.289999999999999</v>
      </c>
      <c r="G18" s="9">
        <f>F18/15</f>
        <v/>
      </c>
      <c r="H18" s="9">
        <f>(E18+G18)/2</f>
        <v/>
      </c>
      <c r="I18" s="10" t="n">
        <v>13540.75406</v>
      </c>
      <c r="J18" s="9">
        <f>(LN(MIN(I18,75000))-LN(100))/(LN(75000)-LN(100))</f>
        <v/>
      </c>
      <c r="K18" s="11" t="n">
        <v>0.0308</v>
      </c>
      <c r="L18" s="9">
        <f>(0.15-K18)/0.15</f>
        <v/>
      </c>
      <c r="M18" s="9">
        <f>(C18*H18*J18)^(1/3)</f>
        <v/>
      </c>
      <c r="N18" s="9" t="n">
        <v>0.755</v>
      </c>
      <c r="O18" s="9" t="n">
        <v>0.607</v>
      </c>
      <c r="P18" s="9" t="n">
        <v>0.702</v>
      </c>
      <c r="Q18" s="9" t="n">
        <v>0.408</v>
      </c>
    </row>
    <row r="19" ht="20" customHeight="1">
      <c r="A19" s="4" t="inlineStr">
        <is>
          <t>2014</t>
        </is>
      </c>
      <c r="B19" s="5" t="n">
        <v>76.14100000000001</v>
      </c>
      <c r="C19" s="5">
        <f>(B19-20)/65</f>
        <v/>
      </c>
      <c r="D19" s="5" t="n">
        <v>14.49009</v>
      </c>
      <c r="E19" s="5">
        <f>D19/18</f>
        <v/>
      </c>
      <c r="F19" s="5" t="n">
        <v>8.359999999999999</v>
      </c>
      <c r="G19" s="5">
        <f>F19/15</f>
        <v/>
      </c>
      <c r="H19" s="5">
        <f>(E19+G19)/2</f>
        <v/>
      </c>
      <c r="I19" s="6" t="n">
        <v>13890.61235</v>
      </c>
      <c r="J19" s="5">
        <f>(LN(MIN(I19,75000))-LN(100))/(LN(75000)-LN(100))</f>
        <v/>
      </c>
      <c r="K19" s="7" t="n">
        <v>0.0348</v>
      </c>
      <c r="L19" s="5">
        <f>(0.15-K19)/0.15</f>
        <v/>
      </c>
      <c r="M19" s="5">
        <f>(C19*H19*J19)^(1/3)</f>
        <v/>
      </c>
      <c r="N19" s="5" t="n">
        <v>0.76</v>
      </c>
      <c r="O19" s="5" t="n">
        <v>0.621</v>
      </c>
      <c r="P19" s="5" t="n">
        <v>0.705</v>
      </c>
      <c r="Q19" s="5" t="n">
        <v>0.396</v>
      </c>
    </row>
    <row r="20" ht="20" customHeight="1">
      <c r="A20" s="8" t="inlineStr">
        <is>
          <t>2015</t>
        </is>
      </c>
      <c r="B20" s="9" t="n">
        <v>76.22199999999999</v>
      </c>
      <c r="C20" s="9">
        <f>(B20-20)/65</f>
        <v/>
      </c>
      <c r="D20" s="9" t="n">
        <v>14.58164</v>
      </c>
      <c r="E20" s="9">
        <f>D20/18</f>
        <v/>
      </c>
      <c r="F20" s="9" t="n">
        <v>8.699999999999999</v>
      </c>
      <c r="G20" s="9">
        <f>F20/15</f>
        <v/>
      </c>
      <c r="H20" s="9">
        <f>(E20+G20)/2</f>
        <v/>
      </c>
      <c r="I20" s="10" t="n">
        <v>13673.71136</v>
      </c>
      <c r="J20" s="9">
        <f>(LN(MIN(I20,75000))-LN(100))/(LN(75000)-LN(100))</f>
        <v/>
      </c>
      <c r="K20" s="11" t="n">
        <v>0.0362</v>
      </c>
      <c r="L20" s="9">
        <f>(0.15-K20)/0.15</f>
        <v/>
      </c>
      <c r="M20" s="9">
        <f>(C20*H20*J20)^(1/3)</f>
        <v/>
      </c>
      <c r="N20" s="9" t="n">
        <v>0.764</v>
      </c>
      <c r="O20" s="9" t="n">
        <v>0.622</v>
      </c>
      <c r="P20" s="9" t="n">
        <v>0.715</v>
      </c>
      <c r="Q20" s="9" t="n">
        <v>0.391</v>
      </c>
    </row>
    <row r="21" ht="20" customHeight="1">
      <c r="A21" s="4" t="inlineStr">
        <is>
          <t>2016</t>
        </is>
      </c>
      <c r="B21" s="5" t="n">
        <v>76.09399999999999</v>
      </c>
      <c r="C21" s="5">
        <f>(B21-20)/65</f>
        <v/>
      </c>
      <c r="D21" s="5" t="n">
        <v>14.47027</v>
      </c>
      <c r="E21" s="5">
        <f>D21/18</f>
        <v/>
      </c>
      <c r="F21" s="5" t="n">
        <v>8.69</v>
      </c>
      <c r="G21" s="5">
        <f>F21/15</f>
        <v/>
      </c>
      <c r="H21" s="5">
        <f>(E21+G21)/2</f>
        <v/>
      </c>
      <c r="I21" s="6" t="n">
        <v>13395.75637</v>
      </c>
      <c r="J21" s="5">
        <f>(LN(MIN(I21,75000))-LN(100))/(LN(75000)-LN(100))</f>
        <v/>
      </c>
      <c r="K21" s="7" t="n">
        <v>0.046</v>
      </c>
      <c r="L21" s="5">
        <f>(0.15-K21)/0.15</f>
        <v/>
      </c>
      <c r="M21" s="5">
        <f>(C21*H21*J21)^(1/3)</f>
        <v/>
      </c>
      <c r="N21" s="5" t="n">
        <v>0.761</v>
      </c>
      <c r="O21" s="5" t="n">
        <v>0.624</v>
      </c>
      <c r="P21" s="5" t="n">
        <v>0.716</v>
      </c>
      <c r="Q21" s="5" t="n">
        <v>0.386</v>
      </c>
    </row>
    <row r="22" ht="20" customHeight="1">
      <c r="A22" s="8" t="inlineStr">
        <is>
          <t>2017</t>
        </is>
      </c>
      <c r="B22" s="9" t="n">
        <v>76.22</v>
      </c>
      <c r="C22" s="9">
        <f>(B22-20)/65</f>
        <v/>
      </c>
      <c r="D22" s="9" t="n">
        <v>14.3589</v>
      </c>
      <c r="E22" s="9">
        <f>D22/18</f>
        <v/>
      </c>
      <c r="F22" s="9" t="n">
        <v>8.77</v>
      </c>
      <c r="G22" s="9">
        <f>F22/15</f>
        <v/>
      </c>
      <c r="H22" s="9">
        <f>(E22+G22)/2</f>
        <v/>
      </c>
      <c r="I22" s="10" t="n">
        <v>13899.59786</v>
      </c>
      <c r="J22" s="9">
        <f>(LN(MIN(I22,75000))-LN(100))/(LN(75000)-LN(100))</f>
        <v/>
      </c>
      <c r="K22" s="11" t="n">
        <v>0.0384</v>
      </c>
      <c r="L22" s="9">
        <f>(0.15-K22)/0.15</f>
        <v/>
      </c>
      <c r="M22" s="9">
        <f>(C22*H22*J22)^(1/3)</f>
        <v/>
      </c>
      <c r="N22" s="9" t="n">
        <v>0.764</v>
      </c>
      <c r="O22" s="9" t="n">
        <v>0.628</v>
      </c>
      <c r="P22" s="9" t="n">
        <v>0.719</v>
      </c>
      <c r="Q22" s="9" t="n">
        <v>0.389</v>
      </c>
    </row>
    <row r="23" ht="20" customHeight="1">
      <c r="A23" s="4" t="inlineStr">
        <is>
          <t>2018</t>
        </is>
      </c>
      <c r="B23" s="5" t="n">
        <v>77.248</v>
      </c>
      <c r="C23" s="5">
        <f>(B23-20)/65</f>
        <v/>
      </c>
      <c r="D23" s="5" t="n">
        <v>14.24753</v>
      </c>
      <c r="E23" s="5">
        <f>D23/18</f>
        <v/>
      </c>
      <c r="F23" s="5" t="n">
        <v>8.786667</v>
      </c>
      <c r="G23" s="5">
        <f>F23/15</f>
        <v/>
      </c>
      <c r="H23" s="5">
        <f>(E23+G23)/2</f>
        <v/>
      </c>
      <c r="I23" s="6" t="n">
        <v>13722.3682</v>
      </c>
      <c r="J23" s="5">
        <f>(LN(MIN(I23,75000))-LN(100))/(LN(75000)-LN(100))</f>
        <v/>
      </c>
      <c r="K23" s="7" t="n">
        <v>0.0353</v>
      </c>
      <c r="L23" s="5">
        <f>(0.15-K23)/0.15</f>
        <v/>
      </c>
      <c r="M23" s="5">
        <f>(C23*H23*J23)^(1/3)</f>
        <v/>
      </c>
      <c r="N23" s="5" t="n">
        <v>0.767</v>
      </c>
      <c r="O23" s="5" t="n">
        <v>0.627</v>
      </c>
      <c r="P23" s="5" t="n">
        <v>0.724</v>
      </c>
      <c r="Q23" s="5" t="n">
        <v>0.391</v>
      </c>
    </row>
    <row r="24" ht="20" customHeight="1">
      <c r="A24" s="8" t="inlineStr">
        <is>
          <t>2019</t>
        </is>
      </c>
      <c r="B24" s="9" t="n">
        <v>77.286</v>
      </c>
      <c r="C24" s="9">
        <f>(B24-20)/65</f>
        <v/>
      </c>
      <c r="D24" s="9" t="n">
        <v>14.09998</v>
      </c>
      <c r="E24" s="9">
        <f>D24/18</f>
        <v/>
      </c>
      <c r="F24" s="9" t="n">
        <v>8.803333</v>
      </c>
      <c r="G24" s="9">
        <f>F24/15</f>
        <v/>
      </c>
      <c r="H24" s="9">
        <f>(E24+G24)/2</f>
        <v/>
      </c>
      <c r="I24" s="10" t="n">
        <v>13459.63171</v>
      </c>
      <c r="J24" s="9">
        <f>(LN(MIN(I24,75000))-LN(100))/(LN(75000)-LN(100))</f>
        <v/>
      </c>
      <c r="K24" s="11" t="n">
        <v>0.0381</v>
      </c>
      <c r="L24" s="9">
        <f>(0.15-K24)/0.15</f>
        <v/>
      </c>
      <c r="M24" s="9">
        <f>(C24*H24*J24)^(1/3)</f>
        <v/>
      </c>
      <c r="N24" s="9" t="n">
        <v>0.765</v>
      </c>
      <c r="O24" s="9" t="n">
        <v>0.627</v>
      </c>
      <c r="P24" s="9" t="n">
        <v>0.722</v>
      </c>
      <c r="Q24" s="9" t="n">
        <v>0.388</v>
      </c>
    </row>
    <row r="25" ht="20" customHeight="1">
      <c r="A25" s="4" t="inlineStr">
        <is>
          <t>2020</t>
        </is>
      </c>
      <c r="B25" s="5" t="n">
        <v>72.004</v>
      </c>
      <c r="C25" s="5">
        <f>(B25-20)/65</f>
        <v/>
      </c>
      <c r="D25" s="5" t="n">
        <v>14.61038</v>
      </c>
      <c r="E25" s="5">
        <f>D25/18</f>
        <v/>
      </c>
      <c r="F25" s="5" t="n">
        <v>8.82</v>
      </c>
      <c r="G25" s="5">
        <f>F25/15</f>
        <v/>
      </c>
      <c r="H25" s="5">
        <f>(E25+G25)/2</f>
        <v/>
      </c>
      <c r="I25" s="6" t="n">
        <v>11975.10495</v>
      </c>
      <c r="J25" s="5">
        <f>(LN(MIN(I25,75000))-LN(100))/(LN(75000)-LN(100))</f>
        <v/>
      </c>
      <c r="K25" s="7" t="n">
        <v>0.0613</v>
      </c>
      <c r="L25" s="5">
        <f>(0.15-K25)/0.15</f>
        <v/>
      </c>
      <c r="M25" s="5">
        <f>(C25*H25*J25)^(1/3)</f>
        <v/>
      </c>
      <c r="N25" s="5" t="n">
        <v>0.74</v>
      </c>
      <c r="O25" s="5" t="n">
        <v>0.605</v>
      </c>
      <c r="P25" s="5" t="n">
        <v>0.704</v>
      </c>
      <c r="Q25" s="5" t="n">
        <v>0.373</v>
      </c>
    </row>
    <row r="26" ht="22" customHeight="1">
      <c r="A26" s="12" t="inlineStr">
        <is>
          <t>Promedio</t>
        </is>
      </c>
      <c r="B26" s="13">
        <f>AVERAGE(B5:B25)</f>
        <v/>
      </c>
      <c r="C26" s="14">
        <f>AVERAGE(C5:C25)</f>
        <v/>
      </c>
      <c r="D26" s="13">
        <f>AVERAGE(D5:D25)</f>
        <v/>
      </c>
      <c r="E26" s="14">
        <f>AVERAGE(E5:E25)</f>
        <v/>
      </c>
      <c r="F26" s="13">
        <f>AVERAGE(F5:F25)</f>
        <v/>
      </c>
      <c r="G26" s="14">
        <f>AVERAGE(G5:G25)</f>
        <v/>
      </c>
      <c r="H26" s="14">
        <f>AVERAGE(H5:H25)</f>
        <v/>
      </c>
      <c r="I26" s="15">
        <f>AVERAGE(I5:I25)</f>
        <v/>
      </c>
      <c r="J26" s="14">
        <f>AVERAGE(J5:J25)</f>
        <v/>
      </c>
      <c r="K26" s="16">
        <f>AVERAGE(K5:K25)</f>
        <v/>
      </c>
      <c r="L26" s="14">
        <f>AVERAGE(L5:L25)</f>
        <v/>
      </c>
      <c r="M26" s="14">
        <f>AVERAGE(M5:M25)</f>
        <v/>
      </c>
      <c r="N26" s="14">
        <f>AVERAGE(N5:N25)</f>
        <v/>
      </c>
      <c r="O26" s="14">
        <f>AVERAGE(O5:O25)</f>
        <v/>
      </c>
      <c r="P26" s="14">
        <f>AVERAGE(P5:P25)</f>
        <v/>
      </c>
      <c r="Q26" s="14">
        <f>AVERAGE(Q5:Q25)</f>
        <v/>
      </c>
    </row>
  </sheetData>
  <mergeCells count="2"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showGridLines="1" workbookViewId="0">
      <selection activeCell="A1" sqref="A1"/>
    </sheetView>
  </sheetViews>
  <sheetFormatPr baseColWidth="8" defaultRowHeight="15"/>
  <cols>
    <col width="124" customWidth="1" min="1" max="1"/>
    <col width="20" customWidth="1" min="2" max="2"/>
    <col width="26" customWidth="1" min="3" max="3"/>
    <col width="20" customWidth="1" min="4" max="4"/>
    <col width="20" customWidth="1" min="5" max="5"/>
    <col width="20" customWidth="1" min="6" max="6"/>
    <col width="21" customWidth="1" min="7" max="7"/>
    <col width="28" customWidth="1" min="8" max="8"/>
    <col width="28" customWidth="1" min="9" max="9"/>
    <col width="53" customWidth="1" min="10" max="10"/>
    <col width="24" customWidth="1" min="11" max="11"/>
    <col width="25" customWidth="1" min="12" max="12"/>
    <col width="27" customWidth="1" min="13" max="13"/>
    <col width="26" customWidth="1" min="14" max="14"/>
    <col width="29" customWidth="1" min="15" max="15"/>
    <col width="25" customWidth="1" min="16" max="16"/>
    <col width="34" customWidth="1" min="17" max="17"/>
  </cols>
  <sheetData>
    <row r="1" ht="30" customHeight="1">
      <c r="A1" s="1" t="inlineStr">
        <is>
          <t>Indicadores de Desarrollo Humano (IDH, IHDI, PHDI, IDG) - Suiza (2000-2020)</t>
        </is>
      </c>
    </row>
    <row r="2">
      <c r="A2" s="2" t="inlineStr">
        <is>
          <t>Materia: Desarrollo Económico | Taller: Análisis Comparativo Internacional | Estudiante: Erick Fabricio Condoy Seraquive</t>
        </is>
      </c>
    </row>
    <row r="3"/>
    <row r="4" ht="25" customHeight="1">
      <c r="A4" s="3" t="inlineStr">
        <is>
          <t>Año</t>
        </is>
      </c>
      <c r="B4" s="3" t="inlineStr">
        <is>
          <t>Esp. Vida (Años)</t>
        </is>
      </c>
      <c r="C4" s="3" t="inlineStr">
        <is>
          <t>Índice Salud (I_Salud)</t>
        </is>
      </c>
      <c r="D4" s="3" t="inlineStr">
        <is>
          <t>Años Esp. Esc.</t>
        </is>
      </c>
      <c r="E4" s="3" t="inlineStr">
        <is>
          <t>Índice Años Esp.</t>
        </is>
      </c>
      <c r="F4" s="3" t="inlineStr">
        <is>
          <t>Años Prom. Esc.</t>
        </is>
      </c>
      <c r="G4" s="3" t="inlineStr">
        <is>
          <t>Índice Años Prom.</t>
        </is>
      </c>
      <c r="H4" s="3" t="inlineStr">
        <is>
          <t>Índice Educación (I_Edu)</t>
        </is>
      </c>
      <c r="I4" s="3" t="inlineStr">
        <is>
          <t>INB per cápita PPA (USD)</t>
        </is>
      </c>
      <c r="J4" s="3" t="inlineStr">
        <is>
          <t>Índice Ingresos (I_Ing)</t>
        </is>
      </c>
      <c r="K4" s="3" t="inlineStr">
        <is>
          <t>Tasa Desempleo (%)</t>
        </is>
      </c>
      <c r="L4" s="3" t="inlineStr">
        <is>
          <t>Índice Empleo (I_Emp)</t>
        </is>
      </c>
      <c r="M4" s="3" t="inlineStr">
        <is>
          <t>IDH Oficial (Calculado)</t>
        </is>
      </c>
      <c r="N4" s="3" t="inlineStr">
        <is>
          <t>IDH Oficial (PNUD Raw)</t>
        </is>
      </c>
      <c r="O4" s="3" t="inlineStr">
        <is>
          <t>IHDI (Ajust. Desigualdad)</t>
        </is>
      </c>
      <c r="P4" s="3" t="inlineStr">
        <is>
          <t>PHDI (Ajust. Planeta)</t>
        </is>
      </c>
      <c r="Q4" s="3" t="inlineStr">
        <is>
          <t>IDG / GII (Desigualdad Género)</t>
        </is>
      </c>
    </row>
    <row r="5" ht="20" customHeight="1">
      <c r="A5" s="4" t="inlineStr">
        <is>
          <t>2000</t>
        </is>
      </c>
      <c r="B5" s="5" t="n">
        <v>79.834</v>
      </c>
      <c r="C5" s="5">
        <f>(B5-20)/65</f>
        <v/>
      </c>
      <c r="D5" s="5" t="n">
        <v>15.03796959</v>
      </c>
      <c r="E5" s="5">
        <f>D5/18</f>
        <v/>
      </c>
      <c r="F5" s="5" t="n">
        <v>10.63767836</v>
      </c>
      <c r="G5" s="5">
        <f>F5/15</f>
        <v/>
      </c>
      <c r="H5" s="5">
        <f>(E5+G5)/2</f>
        <v/>
      </c>
      <c r="I5" s="6" t="n">
        <v>74302.98282999999</v>
      </c>
      <c r="J5" s="5">
        <f>(LN(MIN(I5,75000))-LN(100))/(LN(75000)-LN(100))</f>
        <v/>
      </c>
      <c r="K5" s="7" t="n">
        <v>0.0266</v>
      </c>
      <c r="L5" s="5">
        <f>(0.15-K5)/0.15</f>
        <v/>
      </c>
      <c r="M5" s="5">
        <f>(C5*H5*J5)^(1/3)</f>
        <v/>
      </c>
      <c r="N5" s="5" t="n">
        <v>0.892</v>
      </c>
      <c r="O5" s="5" t="inlineStr"/>
      <c r="P5" s="5" t="n">
        <v>0.705</v>
      </c>
      <c r="Q5" s="5" t="n">
        <v>0.093</v>
      </c>
    </row>
    <row r="6" ht="20" customHeight="1">
      <c r="A6" s="8" t="inlineStr">
        <is>
          <t>2001</t>
        </is>
      </c>
      <c r="B6" s="9" t="n">
        <v>80.251</v>
      </c>
      <c r="C6" s="9">
        <f>(B6-20)/65</f>
        <v/>
      </c>
      <c r="D6" s="9" t="n">
        <v>15.06583977</v>
      </c>
      <c r="E6" s="9">
        <f>D6/18</f>
        <v/>
      </c>
      <c r="F6" s="9" t="n">
        <v>10.75139504</v>
      </c>
      <c r="G6" s="9">
        <f>F6/15</f>
        <v/>
      </c>
      <c r="H6" s="9">
        <f>(E6+G6)/2</f>
        <v/>
      </c>
      <c r="I6" s="10" t="n">
        <v>73206.67357</v>
      </c>
      <c r="J6" s="9">
        <f>(LN(MIN(I6,75000))-LN(100))/(LN(75000)-LN(100))</f>
        <v/>
      </c>
      <c r="K6" s="11" t="n">
        <v>0.0249</v>
      </c>
      <c r="L6" s="9">
        <f>(0.15-K6)/0.15</f>
        <v/>
      </c>
      <c r="M6" s="9">
        <f>(C6*H6*J6)^(1/3)</f>
        <v/>
      </c>
      <c r="N6" s="9" t="n">
        <v>0.895</v>
      </c>
      <c r="O6" s="9" t="inlineStr"/>
      <c r="P6" s="9" t="n">
        <v>0.703</v>
      </c>
      <c r="Q6" s="9" t="n">
        <v>0.08699999999999999</v>
      </c>
    </row>
    <row r="7" ht="20" customHeight="1">
      <c r="A7" s="4" t="inlineStr">
        <is>
          <t>2002</t>
        </is>
      </c>
      <c r="B7" s="5" t="n">
        <v>80.444</v>
      </c>
      <c r="C7" s="5">
        <f>(B7-20)/65</f>
        <v/>
      </c>
      <c r="D7" s="5" t="n">
        <v>14.96234989</v>
      </c>
      <c r="E7" s="5">
        <f>D7/18</f>
        <v/>
      </c>
      <c r="F7" s="5" t="n">
        <v>10.86511172</v>
      </c>
      <c r="G7" s="5">
        <f>F7/15</f>
        <v/>
      </c>
      <c r="H7" s="5">
        <f>(E7+G7)/2</f>
        <v/>
      </c>
      <c r="I7" s="6" t="n">
        <v>72444.27042</v>
      </c>
      <c r="J7" s="5">
        <f>(LN(MIN(I7,75000))-LN(100))/(LN(75000)-LN(100))</f>
        <v/>
      </c>
      <c r="K7" s="7" t="n">
        <v>0.0292</v>
      </c>
      <c r="L7" s="5">
        <f>(0.15-K7)/0.15</f>
        <v/>
      </c>
      <c r="M7" s="5">
        <f>(C7*H7*J7)^(1/3)</f>
        <v/>
      </c>
      <c r="N7" s="5" t="n">
        <v>0.896</v>
      </c>
      <c r="O7" s="5" t="inlineStr"/>
      <c r="P7" s="5" t="n">
        <v>0.715</v>
      </c>
      <c r="Q7" s="5" t="n">
        <v>0.08500000000000001</v>
      </c>
    </row>
    <row r="8" ht="20" customHeight="1">
      <c r="A8" s="8" t="inlineStr">
        <is>
          <t>2003</t>
        </is>
      </c>
      <c r="B8" s="9" t="n">
        <v>80.532</v>
      </c>
      <c r="C8" s="9">
        <f>(B8-20)/65</f>
        <v/>
      </c>
      <c r="D8" s="9" t="n">
        <v>15.10202026</v>
      </c>
      <c r="E8" s="9">
        <f>D8/18</f>
        <v/>
      </c>
      <c r="F8" s="9" t="n">
        <v>10.9788284</v>
      </c>
      <c r="G8" s="9">
        <f>F8/15</f>
        <v/>
      </c>
      <c r="H8" s="9">
        <f>(E8+G8)/2</f>
        <v/>
      </c>
      <c r="I8" s="10" t="n">
        <v>75080.04049</v>
      </c>
      <c r="J8" s="9">
        <f>(LN(MIN(I8,75000))-LN(100))/(LN(75000)-LN(100))</f>
        <v/>
      </c>
      <c r="K8" s="11" t="n">
        <v>0.0412</v>
      </c>
      <c r="L8" s="9">
        <f>(0.15-K8)/0.15</f>
        <v/>
      </c>
      <c r="M8" s="9">
        <f>(C8*H8*J8)^(1/3)</f>
        <v/>
      </c>
      <c r="N8" s="9" t="n">
        <v>0.901</v>
      </c>
      <c r="O8" s="9" t="inlineStr"/>
      <c r="P8" s="9" t="n">
        <v>0.716</v>
      </c>
      <c r="Q8" s="9" t="n">
        <v>0.077</v>
      </c>
    </row>
    <row r="9" ht="20" customHeight="1">
      <c r="A9" s="4" t="inlineStr">
        <is>
          <t>2004</t>
        </is>
      </c>
      <c r="B9" s="5" t="n">
        <v>81.05500000000001</v>
      </c>
      <c r="C9" s="5">
        <f>(B9-20)/65</f>
        <v/>
      </c>
      <c r="D9" s="5" t="n">
        <v>15.18083</v>
      </c>
      <c r="E9" s="5">
        <f>D9/18</f>
        <v/>
      </c>
      <c r="F9" s="5" t="n">
        <v>11.09254507</v>
      </c>
      <c r="G9" s="5">
        <f>F9/15</f>
        <v/>
      </c>
      <c r="H9" s="5">
        <f>(E9+G9)/2</f>
        <v/>
      </c>
      <c r="I9" s="6" t="n">
        <v>75988.94832</v>
      </c>
      <c r="J9" s="5">
        <f>(LN(MIN(I9,75000))-LN(100))/(LN(75000)-LN(100))</f>
        <v/>
      </c>
      <c r="K9" s="7" t="n">
        <v>0.0441</v>
      </c>
      <c r="L9" s="5">
        <f>(0.15-K9)/0.15</f>
        <v/>
      </c>
      <c r="M9" s="5">
        <f>(C9*H9*J9)^(1/3)</f>
        <v/>
      </c>
      <c r="N9" s="5" t="n">
        <v>0.906</v>
      </c>
      <c r="O9" s="5" t="inlineStr"/>
      <c r="P9" s="5" t="n">
        <v>0.717</v>
      </c>
      <c r="Q9" s="5" t="n">
        <v>0.077</v>
      </c>
    </row>
    <row r="10" ht="20" customHeight="1">
      <c r="A10" s="8" t="inlineStr">
        <is>
          <t>2005</t>
        </is>
      </c>
      <c r="B10" s="9" t="n">
        <v>81.236</v>
      </c>
      <c r="C10" s="9">
        <f>(B10-20)/65</f>
        <v/>
      </c>
      <c r="D10" s="9" t="n">
        <v>15.22286034</v>
      </c>
      <c r="E10" s="9">
        <f>D10/18</f>
        <v/>
      </c>
      <c r="F10" s="9" t="n">
        <v>11.20626175</v>
      </c>
      <c r="G10" s="9">
        <f>F10/15</f>
        <v/>
      </c>
      <c r="H10" s="9">
        <f>(E10+G10)/2</f>
        <v/>
      </c>
      <c r="I10" s="10" t="n">
        <v>78661.01112</v>
      </c>
      <c r="J10" s="9">
        <f>(LN(MIN(I10,75000))-LN(100))/(LN(75000)-LN(100))</f>
        <v/>
      </c>
      <c r="K10" s="11" t="n">
        <v>0.0442</v>
      </c>
      <c r="L10" s="9">
        <f>(0.15-K10)/0.15</f>
        <v/>
      </c>
      <c r="M10" s="9">
        <f>(C10*H10*J10)^(1/3)</f>
        <v/>
      </c>
      <c r="N10" s="9" t="n">
        <v>0.909</v>
      </c>
      <c r="O10" s="9" t="inlineStr"/>
      <c r="P10" s="9" t="n">
        <v>0.705</v>
      </c>
      <c r="Q10" s="9" t="n">
        <v>0.074</v>
      </c>
    </row>
    <row r="11" ht="20" customHeight="1">
      <c r="A11" s="4" t="inlineStr">
        <is>
          <t>2006</t>
        </is>
      </c>
      <c r="B11" s="5" t="n">
        <v>81.54900000000001</v>
      </c>
      <c r="C11" s="5">
        <f>(B11-20)/65</f>
        <v/>
      </c>
      <c r="D11" s="5" t="n">
        <v>15.31324959</v>
      </c>
      <c r="E11" s="5">
        <f>D11/18</f>
        <v/>
      </c>
      <c r="F11" s="5" t="n">
        <v>11.73969635</v>
      </c>
      <c r="G11" s="5">
        <f>F11/15</f>
        <v/>
      </c>
      <c r="H11" s="5">
        <f>(E11+G11)/2</f>
        <v/>
      </c>
      <c r="I11" s="6" t="n">
        <v>80425.10407</v>
      </c>
      <c r="J11" s="5">
        <f>(LN(MIN(I11,75000))-LN(100))/(LN(75000)-LN(100))</f>
        <v/>
      </c>
      <c r="K11" s="7" t="n">
        <v>0.0373</v>
      </c>
      <c r="L11" s="5">
        <f>(0.15-K11)/0.15</f>
        <v/>
      </c>
      <c r="M11" s="5">
        <f>(C11*H11*J11)^(1/3)</f>
        <v/>
      </c>
      <c r="N11" s="5" t="n">
        <v>0.918</v>
      </c>
      <c r="O11" s="5" t="inlineStr"/>
      <c r="P11" s="5" t="n">
        <v>0.708</v>
      </c>
      <c r="Q11" s="5" t="n">
        <v>0.06900000000000001</v>
      </c>
    </row>
    <row r="12" ht="20" customHeight="1">
      <c r="A12" s="8" t="inlineStr">
        <is>
          <t>2007</t>
        </is>
      </c>
      <c r="B12" s="9" t="n">
        <v>81.703</v>
      </c>
      <c r="C12" s="9">
        <f>(B12-20)/65</f>
        <v/>
      </c>
      <c r="D12" s="9" t="n">
        <v>15.42905998</v>
      </c>
      <c r="E12" s="9">
        <f>D12/18</f>
        <v/>
      </c>
      <c r="F12" s="9" t="n">
        <v>12.27313095</v>
      </c>
      <c r="G12" s="9">
        <f>F12/15</f>
        <v/>
      </c>
      <c r="H12" s="9">
        <f>(E12+G12)/2</f>
        <v/>
      </c>
      <c r="I12" s="10" t="n">
        <v>77405.79708999999</v>
      </c>
      <c r="J12" s="9">
        <f>(LN(MIN(I12,75000))-LN(100))/(LN(75000)-LN(100))</f>
        <v/>
      </c>
      <c r="K12" s="11" t="n">
        <v>0.0316</v>
      </c>
      <c r="L12" s="9">
        <f>(0.15-K12)/0.15</f>
        <v/>
      </c>
      <c r="M12" s="9">
        <f>(C12*H12*J12)^(1/3)</f>
        <v/>
      </c>
      <c r="N12" s="9" t="n">
        <v>0.926</v>
      </c>
      <c r="O12" s="9" t="inlineStr"/>
      <c r="P12" s="9" t="n">
        <v>0.713</v>
      </c>
      <c r="Q12" s="9" t="n">
        <v>0.062</v>
      </c>
    </row>
    <row r="13" ht="20" customHeight="1">
      <c r="A13" s="4" t="inlineStr">
        <is>
          <t>2008</t>
        </is>
      </c>
      <c r="B13" s="5" t="n">
        <v>81.971</v>
      </c>
      <c r="C13" s="5">
        <f>(B13-20)/65</f>
        <v/>
      </c>
      <c r="D13" s="5" t="n">
        <v>15.48637962</v>
      </c>
      <c r="E13" s="5">
        <f>D13/18</f>
        <v/>
      </c>
      <c r="F13" s="5" t="n">
        <v>12.80656555</v>
      </c>
      <c r="G13" s="5">
        <f>F13/15</f>
        <v/>
      </c>
      <c r="H13" s="5">
        <f>(E13+G13)/2</f>
        <v/>
      </c>
      <c r="I13" s="6" t="n">
        <v>72847.79552</v>
      </c>
      <c r="J13" s="5">
        <f>(LN(MIN(I13,75000))-LN(100))/(LN(75000)-LN(100))</f>
        <v/>
      </c>
      <c r="K13" s="7" t="n">
        <v>0.0303</v>
      </c>
      <c r="L13" s="5">
        <f>(0.15-K13)/0.15</f>
        <v/>
      </c>
      <c r="M13" s="5">
        <f>(C13*H13*J13)^(1/3)</f>
        <v/>
      </c>
      <c r="N13" s="5" t="n">
        <v>0.9340000000000001</v>
      </c>
      <c r="O13" s="5" t="inlineStr"/>
      <c r="P13" s="5" t="n">
        <v>0.717</v>
      </c>
      <c r="Q13" s="5" t="n">
        <v>0.06</v>
      </c>
    </row>
    <row r="14" ht="20" customHeight="1">
      <c r="A14" s="8" t="inlineStr">
        <is>
          <t>2009</t>
        </is>
      </c>
      <c r="B14" s="9" t="n">
        <v>81.989</v>
      </c>
      <c r="C14" s="9">
        <f>(B14-20)/65</f>
        <v/>
      </c>
      <c r="D14" s="9" t="n">
        <v>15.51601982</v>
      </c>
      <c r="E14" s="9">
        <f>D14/18</f>
        <v/>
      </c>
      <c r="F14" s="9" t="n">
        <v>13.34000015</v>
      </c>
      <c r="G14" s="9">
        <f>F14/15</f>
        <v/>
      </c>
      <c r="H14" s="9">
        <f>(E14+G14)/2</f>
        <v/>
      </c>
      <c r="I14" s="10" t="n">
        <v>76884.51324</v>
      </c>
      <c r="J14" s="9">
        <f>(LN(MIN(I14,75000))-LN(100))/(LN(75000)-LN(100))</f>
        <v/>
      </c>
      <c r="K14" s="11" t="n">
        <v>0.0399</v>
      </c>
      <c r="L14" s="9">
        <f>(0.15-K14)/0.15</f>
        <v/>
      </c>
      <c r="M14" s="9">
        <f>(C14*H14*J14)^(1/3)</f>
        <v/>
      </c>
      <c r="N14" s="9" t="n">
        <v>0.9419999999999999</v>
      </c>
      <c r="O14" s="9" t="inlineStr"/>
      <c r="P14" s="9" t="n">
        <v>0.725</v>
      </c>
      <c r="Q14" s="9" t="n">
        <v>0.058</v>
      </c>
    </row>
    <row r="15" ht="20" customHeight="1">
      <c r="A15" s="4" t="inlineStr">
        <is>
          <t>2010</t>
        </is>
      </c>
      <c r="B15" s="5" t="n">
        <v>82.28700000000001</v>
      </c>
      <c r="C15" s="5">
        <f>(B15-20)/65</f>
        <v/>
      </c>
      <c r="D15" s="5" t="n">
        <v>15.6798296</v>
      </c>
      <c r="E15" s="5">
        <f>D15/18</f>
        <v/>
      </c>
      <c r="F15" s="5" t="n">
        <v>13.31999969</v>
      </c>
      <c r="G15" s="5">
        <f>F15/15</f>
        <v/>
      </c>
      <c r="H15" s="5">
        <f>(E15+G15)/2</f>
        <v/>
      </c>
      <c r="I15" s="6" t="n">
        <v>81900.20392</v>
      </c>
      <c r="J15" s="5">
        <f>(LN(MIN(I15,75000))-LN(100))/(LN(75000)-LN(100))</f>
        <v/>
      </c>
      <c r="K15" s="7" t="n">
        <v>0.0436</v>
      </c>
      <c r="L15" s="5">
        <f>(0.15-K15)/0.15</f>
        <v/>
      </c>
      <c r="M15" s="5">
        <f>(C15*H15*J15)^(1/3)</f>
        <v/>
      </c>
      <c r="N15" s="5" t="n">
        <v>0.945</v>
      </c>
      <c r="O15" s="5" t="n">
        <v>0.87</v>
      </c>
      <c r="P15" s="5" t="n">
        <v>0.717</v>
      </c>
      <c r="Q15" s="5" t="n">
        <v>0.056</v>
      </c>
    </row>
    <row r="16" ht="20" customHeight="1">
      <c r="A16" s="8" t="inlineStr">
        <is>
          <t>2011</t>
        </is>
      </c>
      <c r="B16" s="9" t="n">
        <v>82.574</v>
      </c>
      <c r="C16" s="9">
        <f>(B16-20)/65</f>
        <v/>
      </c>
      <c r="D16" s="9" t="n">
        <v>15.6731596</v>
      </c>
      <c r="E16" s="9">
        <f>D16/18</f>
        <v/>
      </c>
      <c r="F16" s="9" t="n">
        <v>13.32999992</v>
      </c>
      <c r="G16" s="9">
        <f>F16/15</f>
        <v/>
      </c>
      <c r="H16" s="9">
        <f>(E16+G16)/2</f>
        <v/>
      </c>
      <c r="I16" s="10" t="n">
        <v>78996.10126</v>
      </c>
      <c r="J16" s="9">
        <f>(LN(MIN(I16,75000))-LN(100))/(LN(75000)-LN(100))</f>
        <v/>
      </c>
      <c r="K16" s="11" t="n">
        <v>0.0409</v>
      </c>
      <c r="L16" s="9">
        <f>(0.15-K16)/0.15</f>
        <v/>
      </c>
      <c r="M16" s="9">
        <f>(C16*H16*J16)^(1/3)</f>
        <v/>
      </c>
      <c r="N16" s="9" t="n">
        <v>0.946</v>
      </c>
      <c r="O16" s="9" t="n">
        <v>0.873</v>
      </c>
      <c r="P16" s="9" t="n">
        <v>0.6860000000000001</v>
      </c>
      <c r="Q16" s="9" t="n">
        <v>0.053</v>
      </c>
    </row>
    <row r="17" ht="20" customHeight="1">
      <c r="A17" s="4" t="inlineStr">
        <is>
          <t>2012</t>
        </is>
      </c>
      <c r="B17" s="5" t="n">
        <v>82.617</v>
      </c>
      <c r="C17" s="5">
        <f>(B17-20)/65</f>
        <v/>
      </c>
      <c r="D17" s="5" t="n">
        <v>15.82800961</v>
      </c>
      <c r="E17" s="5">
        <f>D17/18</f>
        <v/>
      </c>
      <c r="F17" s="5" t="n">
        <v>13.40999985</v>
      </c>
      <c r="G17" s="5">
        <f>F17/15</f>
        <v/>
      </c>
      <c r="H17" s="5">
        <f>(E17+G17)/2</f>
        <v/>
      </c>
      <c r="I17" s="6" t="n">
        <v>80093.92938</v>
      </c>
      <c r="J17" s="5">
        <f>(LN(MIN(I17,75000))-LN(100))/(LN(75000)-LN(100))</f>
        <v/>
      </c>
      <c r="K17" s="7" t="n">
        <v>0.0425</v>
      </c>
      <c r="L17" s="5">
        <f>(0.15-K17)/0.15</f>
        <v/>
      </c>
      <c r="M17" s="5">
        <f>(C17*H17*J17)^(1/3)</f>
        <v/>
      </c>
      <c r="N17" s="5" t="n">
        <v>0.949</v>
      </c>
      <c r="O17" s="5" t="n">
        <v>0.879</v>
      </c>
      <c r="P17" s="5" t="n">
        <v>0.703</v>
      </c>
      <c r="Q17" s="5" t="n">
        <v>0.05</v>
      </c>
    </row>
    <row r="18" ht="20" customHeight="1">
      <c r="A18" s="8" t="inlineStr">
        <is>
          <t>2013</t>
        </is>
      </c>
      <c r="B18" s="9" t="n">
        <v>82.68899999999999</v>
      </c>
      <c r="C18" s="9">
        <f>(B18-20)/65</f>
        <v/>
      </c>
      <c r="D18" s="9" t="n">
        <v>16.02375984</v>
      </c>
      <c r="E18" s="9">
        <f>D18/18</f>
        <v/>
      </c>
      <c r="F18" s="9" t="n">
        <v>13.5250001</v>
      </c>
      <c r="G18" s="9">
        <f>F18/15</f>
        <v/>
      </c>
      <c r="H18" s="9">
        <f>(E18+G18)/2</f>
        <v/>
      </c>
      <c r="I18" s="10" t="n">
        <v>79770.57698</v>
      </c>
      <c r="J18" s="9">
        <f>(LN(MIN(I18,75000))-LN(100))/(LN(75000)-LN(100))</f>
        <v/>
      </c>
      <c r="K18" s="11" t="n">
        <v>0.0443</v>
      </c>
      <c r="L18" s="9">
        <f>(0.15-K18)/0.15</f>
        <v/>
      </c>
      <c r="M18" s="9">
        <f>(C18*H18*J18)^(1/3)</f>
        <v/>
      </c>
      <c r="N18" s="9" t="n">
        <v>0.952</v>
      </c>
      <c r="O18" s="9" t="n">
        <v>0.884</v>
      </c>
      <c r="P18" s="9" t="n">
        <v>0.706</v>
      </c>
      <c r="Q18" s="9" t="n">
        <v>0.043</v>
      </c>
    </row>
    <row r="19" ht="20" customHeight="1">
      <c r="A19" s="4" t="inlineStr">
        <is>
          <t>2014</t>
        </is>
      </c>
      <c r="B19" s="5" t="n">
        <v>83.084</v>
      </c>
      <c r="C19" s="5">
        <f>(B19-20)/65</f>
        <v/>
      </c>
      <c r="D19" s="5" t="n">
        <v>16.08971977</v>
      </c>
      <c r="E19" s="5">
        <f>D19/18</f>
        <v/>
      </c>
      <c r="F19" s="5" t="n">
        <v>13.64000034</v>
      </c>
      <c r="G19" s="5">
        <f>F19/15</f>
        <v/>
      </c>
      <c r="H19" s="5">
        <f>(E19+G19)/2</f>
        <v/>
      </c>
      <c r="I19" s="6" t="n">
        <v>79041.54726000001</v>
      </c>
      <c r="J19" s="5">
        <f>(LN(MIN(I19,75000))-LN(100))/(LN(75000)-LN(100))</f>
        <v/>
      </c>
      <c r="K19" s="7" t="n">
        <v>0.0445</v>
      </c>
      <c r="L19" s="5">
        <f>(0.15-K19)/0.15</f>
        <v/>
      </c>
      <c r="M19" s="5">
        <f>(C19*H19*J19)^(1/3)</f>
        <v/>
      </c>
      <c r="N19" s="5" t="n">
        <v>0.956</v>
      </c>
      <c r="O19" s="5" t="n">
        <v>0.884</v>
      </c>
      <c r="P19" s="5" t="n">
        <v>0.725</v>
      </c>
      <c r="Q19" s="5" t="n">
        <v>0.041</v>
      </c>
    </row>
    <row r="20" ht="20" customHeight="1">
      <c r="A20" s="8" t="inlineStr">
        <is>
          <t>2015</t>
        </is>
      </c>
      <c r="B20" s="9" t="n">
        <v>82.846</v>
      </c>
      <c r="C20" s="9">
        <f>(B20-20)/65</f>
        <v/>
      </c>
      <c r="D20" s="9" t="n">
        <v>16.1556797</v>
      </c>
      <c r="E20" s="9">
        <f>D20/18</f>
        <v/>
      </c>
      <c r="F20" s="9" t="n">
        <v>13.71000004</v>
      </c>
      <c r="G20" s="9">
        <f>F20/15</f>
        <v/>
      </c>
      <c r="H20" s="9">
        <f>(E20+G20)/2</f>
        <v/>
      </c>
      <c r="I20" s="10" t="n">
        <v>80606.20914000001</v>
      </c>
      <c r="J20" s="9">
        <f>(LN(MIN(I20,75000))-LN(100))/(LN(75000)-LN(100))</f>
        <v/>
      </c>
      <c r="K20" s="11" t="n">
        <v>0.0454</v>
      </c>
      <c r="L20" s="9">
        <f>(0.15-K20)/0.15</f>
        <v/>
      </c>
      <c r="M20" s="9">
        <f>(C20*H20*J20)^(1/3)</f>
        <v/>
      </c>
      <c r="N20" s="9" t="n">
        <v>0.957</v>
      </c>
      <c r="O20" s="9" t="n">
        <v>0.884</v>
      </c>
      <c r="P20" s="9" t="n">
        <v>0.727</v>
      </c>
      <c r="Q20" s="9" t="n">
        <v>0.038</v>
      </c>
    </row>
    <row r="21" ht="20" customHeight="1">
      <c r="A21" s="4" t="inlineStr">
        <is>
          <t>2016</t>
        </is>
      </c>
      <c r="B21" s="5" t="n">
        <v>83.446</v>
      </c>
      <c r="C21" s="5">
        <f>(B21-20)/65</f>
        <v/>
      </c>
      <c r="D21" s="5" t="n">
        <v>16.1342907</v>
      </c>
      <c r="E21" s="5">
        <f>D21/18</f>
        <v/>
      </c>
      <c r="F21" s="5" t="n">
        <v>13.67000008</v>
      </c>
      <c r="G21" s="5">
        <f>F21/15</f>
        <v/>
      </c>
      <c r="H21" s="5">
        <f>(E21+G21)/2</f>
        <v/>
      </c>
      <c r="I21" s="6" t="n">
        <v>79016.00197</v>
      </c>
      <c r="J21" s="5">
        <f>(LN(MIN(I21,75000))-LN(100))/(LN(75000)-LN(100))</f>
        <v/>
      </c>
      <c r="K21" s="7" t="n">
        <v>0.0467</v>
      </c>
      <c r="L21" s="5">
        <f>(0.15-K21)/0.15</f>
        <v/>
      </c>
      <c r="M21" s="5">
        <f>(C21*H21*J21)^(1/3)</f>
        <v/>
      </c>
      <c r="N21" s="5" t="n">
        <v>0.959</v>
      </c>
      <c r="O21" s="5" t="n">
        <v>0.887</v>
      </c>
      <c r="P21" s="5" t="n">
        <v>0.723</v>
      </c>
      <c r="Q21" s="5" t="n">
        <v>0.038</v>
      </c>
    </row>
    <row r="22" ht="20" customHeight="1">
      <c r="A22" s="8" t="inlineStr">
        <is>
          <t>2017</t>
        </is>
      </c>
      <c r="B22" s="9" t="n">
        <v>83.414</v>
      </c>
      <c r="C22" s="9">
        <f>(B22-20)/65</f>
        <v/>
      </c>
      <c r="D22" s="9" t="n">
        <v>16.16839981</v>
      </c>
      <c r="E22" s="9">
        <f>D22/18</f>
        <v/>
      </c>
      <c r="F22" s="9" t="n">
        <v>13.73500013</v>
      </c>
      <c r="G22" s="9">
        <f>F22/15</f>
        <v/>
      </c>
      <c r="H22" s="9">
        <f>(E22+G22)/2</f>
        <v/>
      </c>
      <c r="I22" s="10" t="n">
        <v>77993.2677</v>
      </c>
      <c r="J22" s="9">
        <f>(LN(MIN(I22,75000))-LN(100))/(LN(75000)-LN(100))</f>
        <v/>
      </c>
      <c r="K22" s="11" t="n">
        <v>0.0471</v>
      </c>
      <c r="L22" s="9">
        <f>(0.15-K22)/0.15</f>
        <v/>
      </c>
      <c r="M22" s="9">
        <f>(C22*H22*J22)^(1/3)</f>
        <v/>
      </c>
      <c r="N22" s="9" t="n">
        <v>0.96</v>
      </c>
      <c r="O22" s="9" t="n">
        <v>0.886</v>
      </c>
      <c r="P22" s="9" t="n">
        <v>0.728</v>
      </c>
      <c r="Q22" s="9" t="n">
        <v>0.034</v>
      </c>
    </row>
    <row r="23" ht="20" customHeight="1">
      <c r="A23" s="4" t="inlineStr">
        <is>
          <t>2018</t>
        </is>
      </c>
      <c r="B23" s="5" t="n">
        <v>83.56399999999999</v>
      </c>
      <c r="C23" s="5">
        <f>(B23-20)/65</f>
        <v/>
      </c>
      <c r="D23" s="5" t="n">
        <v>16.25905037</v>
      </c>
      <c r="E23" s="5">
        <f>D23/18</f>
        <v/>
      </c>
      <c r="F23" s="5" t="n">
        <v>13.80000019</v>
      </c>
      <c r="G23" s="5">
        <f>F23/15</f>
        <v/>
      </c>
      <c r="H23" s="5">
        <f>(E23+G23)/2</f>
        <v/>
      </c>
      <c r="I23" s="6" t="n">
        <v>77788.62854000001</v>
      </c>
      <c r="J23" s="5">
        <f>(LN(MIN(I23,75000))-LN(100))/(LN(75000)-LN(100))</f>
        <v/>
      </c>
      <c r="K23" s="7" t="n">
        <v>0.0466</v>
      </c>
      <c r="L23" s="5">
        <f>(0.15-K23)/0.15</f>
        <v/>
      </c>
      <c r="M23" s="5">
        <f>(C23*H23*J23)^(1/3)</f>
        <v/>
      </c>
      <c r="N23" s="5" t="n">
        <v>0.962</v>
      </c>
      <c r="O23" s="5" t="n">
        <v>0.889</v>
      </c>
      <c r="P23" s="5" t="n">
        <v>0.738</v>
      </c>
      <c r="Q23" s="5" t="n">
        <v>0.031</v>
      </c>
    </row>
    <row r="24" ht="20" customHeight="1">
      <c r="A24" s="8" t="inlineStr">
        <is>
          <t>2019</t>
        </is>
      </c>
      <c r="B24" s="9" t="n">
        <v>83.78</v>
      </c>
      <c r="C24" s="9">
        <f>(B24-20)/65</f>
        <v/>
      </c>
      <c r="D24" s="9" t="n">
        <v>16.3445797</v>
      </c>
      <c r="E24" s="9">
        <f>D24/18</f>
        <v/>
      </c>
      <c r="F24" s="9" t="n">
        <v>13.85999966</v>
      </c>
      <c r="G24" s="9">
        <f>F24/15</f>
        <v/>
      </c>
      <c r="H24" s="9">
        <f>(E24+G24)/2</f>
        <v/>
      </c>
      <c r="I24" s="10" t="n">
        <v>78234.45513</v>
      </c>
      <c r="J24" s="9">
        <f>(LN(MIN(I24,75000))-LN(100))/(LN(75000)-LN(100))</f>
        <v/>
      </c>
      <c r="K24" s="11" t="n">
        <v>0.0435</v>
      </c>
      <c r="L24" s="9">
        <f>(0.15-K24)/0.15</f>
        <v/>
      </c>
      <c r="M24" s="9">
        <f>(C24*H24*J24)^(1/3)</f>
        <v/>
      </c>
      <c r="N24" s="9" t="n">
        <v>0.965</v>
      </c>
      <c r="O24" s="9" t="n">
        <v>0.891</v>
      </c>
      <c r="P24" s="9" t="n">
        <v>0.742</v>
      </c>
      <c r="Q24" s="9" t="n">
        <v>0.016</v>
      </c>
    </row>
    <row r="25" ht="20" customHeight="1">
      <c r="A25" s="4" t="inlineStr">
        <is>
          <t>2020</t>
        </is>
      </c>
      <c r="B25" s="5" t="n">
        <v>83.063</v>
      </c>
      <c r="C25" s="5">
        <f>(B25-20)/65</f>
        <v/>
      </c>
      <c r="D25" s="5" t="n">
        <v>16.43366051</v>
      </c>
      <c r="E25" s="5">
        <f>D25/18</f>
        <v/>
      </c>
      <c r="F25" s="5" t="n">
        <v>13.90448897</v>
      </c>
      <c r="G25" s="5">
        <f>F25/15</f>
        <v/>
      </c>
      <c r="H25" s="5">
        <f>(E25+G25)/2</f>
        <v/>
      </c>
      <c r="I25" s="6" t="n">
        <v>74518.43775</v>
      </c>
      <c r="J25" s="5">
        <f>(LN(MIN(I25,75000))-LN(100))/(LN(75000)-LN(100))</f>
        <v/>
      </c>
      <c r="K25" s="7" t="n">
        <v>0.0481</v>
      </c>
      <c r="L25" s="5">
        <f>(0.15-K25)/0.15</f>
        <v/>
      </c>
      <c r="M25" s="5">
        <f>(C25*H25*J25)^(1/3)</f>
        <v/>
      </c>
      <c r="N25" s="5" t="n">
        <v>0.963</v>
      </c>
      <c r="O25" s="5" t="n">
        <v>0.885</v>
      </c>
      <c r="P25" s="5" t="n">
        <v>0.731</v>
      </c>
      <c r="Q25" s="5" t="n">
        <v>0.012</v>
      </c>
    </row>
    <row r="26" ht="22" customHeight="1">
      <c r="A26" s="12" t="inlineStr">
        <is>
          <t>Promedio</t>
        </is>
      </c>
      <c r="B26" s="13">
        <f>AVERAGE(B5:B25)</f>
        <v/>
      </c>
      <c r="C26" s="14">
        <f>AVERAGE(C5:C25)</f>
        <v/>
      </c>
      <c r="D26" s="13">
        <f>AVERAGE(D5:D25)</f>
        <v/>
      </c>
      <c r="E26" s="14">
        <f>AVERAGE(E5:E25)</f>
        <v/>
      </c>
      <c r="F26" s="13">
        <f>AVERAGE(F5:F25)</f>
        <v/>
      </c>
      <c r="G26" s="14">
        <f>AVERAGE(G5:G25)</f>
        <v/>
      </c>
      <c r="H26" s="14">
        <f>AVERAGE(H5:H25)</f>
        <v/>
      </c>
      <c r="I26" s="15">
        <f>AVERAGE(I5:I25)</f>
        <v/>
      </c>
      <c r="J26" s="14">
        <f>AVERAGE(J5:J25)</f>
        <v/>
      </c>
      <c r="K26" s="16">
        <f>AVERAGE(K5:K25)</f>
        <v/>
      </c>
      <c r="L26" s="14">
        <f>AVERAGE(L5:L25)</f>
        <v/>
      </c>
      <c r="M26" s="14">
        <f>AVERAGE(M5:M25)</f>
        <v/>
      </c>
      <c r="N26" s="14">
        <f>AVERAGE(N5:N25)</f>
        <v/>
      </c>
      <c r="O26" s="14">
        <f>AVERAGE(O5:O25)</f>
        <v/>
      </c>
      <c r="P26" s="14">
        <f>AVERAGE(P5:P25)</f>
        <v/>
      </c>
      <c r="Q26" s="14">
        <f>AVERAGE(Q5:Q25)</f>
        <v/>
      </c>
    </row>
  </sheetData>
  <mergeCells count="2">
    <mergeCell ref="A2:Q2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1" workbookViewId="0">
      <selection activeCell="A1" sqref="A1"/>
    </sheetView>
  </sheetViews>
  <sheetFormatPr baseColWidth="8" defaultRowHeight="15"/>
  <cols>
    <col width="99" customWidth="1" min="1" max="1"/>
    <col width="25" customWidth="1" min="2" max="2"/>
    <col width="23" customWidth="1" min="3" max="3"/>
    <col width="30" customWidth="1" min="4" max="4"/>
    <col width="28" customWidth="1" min="5" max="5"/>
    <col width="26" customWidth="1" min="6" max="6"/>
    <col width="24" customWidth="1" min="7" max="7"/>
    <col width="30" customWidth="1" min="8" max="8"/>
    <col width="28" customWidth="1" min="9" max="9"/>
  </cols>
  <sheetData>
    <row r="1" ht="30" customHeight="1">
      <c r="A1" s="1" t="inlineStr">
        <is>
          <t>Comparativo Lado a Lado de los 4 Indicadores: Ecuador vs. Suiza (2000-2020)</t>
        </is>
      </c>
    </row>
    <row r="2">
      <c r="A2" s="2" t="inlineStr">
        <is>
          <t>Análisis comparativo de los indicadores oficiales de PNUD extraídos fielmente de las bases raw.</t>
        </is>
      </c>
    </row>
    <row r="3"/>
    <row r="4" ht="25" customHeight="1">
      <c r="A4" s="17" t="inlineStr">
        <is>
          <t>Año</t>
        </is>
      </c>
      <c r="B4" s="17" t="inlineStr">
        <is>
          <t>Ecuador IDH</t>
        </is>
      </c>
      <c r="C4" s="17" t="inlineStr">
        <is>
          <t>Suiza IDH</t>
        </is>
      </c>
      <c r="D4" s="17" t="inlineStr">
        <is>
          <t>Ecuador IHDI (Desigualdad)</t>
        </is>
      </c>
      <c r="E4" s="17" t="inlineStr">
        <is>
          <t>Suiza IHDI (Desigualdad)</t>
        </is>
      </c>
      <c r="F4" s="17" t="inlineStr">
        <is>
          <t>Ecuador PHDI (Planeta)</t>
        </is>
      </c>
      <c r="G4" s="17" t="inlineStr">
        <is>
          <t>Suiza PHDI (Planeta)</t>
        </is>
      </c>
      <c r="H4" s="17" t="inlineStr">
        <is>
          <t>Ecuador IDG / GII (Género)</t>
        </is>
      </c>
      <c r="I4" s="17" t="inlineStr">
        <is>
          <t>Suiza IDG / GII (Género)</t>
        </is>
      </c>
    </row>
    <row r="5" ht="20" customHeight="1">
      <c r="A5" s="4" t="inlineStr">
        <is>
          <t>2000</t>
        </is>
      </c>
      <c r="B5" s="5">
        <f>Ecuador_Calculos!N5</f>
        <v/>
      </c>
      <c r="C5" s="5">
        <f>Suiza_Calculos!N5</f>
        <v/>
      </c>
      <c r="D5" s="5">
        <f>Ecuador_Calculos!O5</f>
        <v/>
      </c>
      <c r="E5" s="5">
        <f>Suiza_Calculos!O5</f>
        <v/>
      </c>
      <c r="F5" s="5">
        <f>Ecuador_Calculos!P5</f>
        <v/>
      </c>
      <c r="G5" s="5">
        <f>Suiza_Calculos!P5</f>
        <v/>
      </c>
      <c r="H5" s="5">
        <f>Ecuador_Calculos!Q5</f>
        <v/>
      </c>
      <c r="I5" s="5">
        <f>Suiza_Calculos!Q5</f>
        <v/>
      </c>
    </row>
    <row r="6" ht="20" customHeight="1">
      <c r="A6" s="8" t="inlineStr">
        <is>
          <t>2001</t>
        </is>
      </c>
      <c r="B6" s="9">
        <f>Ecuador_Calculos!N6</f>
        <v/>
      </c>
      <c r="C6" s="9">
        <f>Suiza_Calculos!N6</f>
        <v/>
      </c>
      <c r="D6" s="9">
        <f>Ecuador_Calculos!O6</f>
        <v/>
      </c>
      <c r="E6" s="9">
        <f>Suiza_Calculos!O6</f>
        <v/>
      </c>
      <c r="F6" s="9">
        <f>Ecuador_Calculos!P6</f>
        <v/>
      </c>
      <c r="G6" s="9">
        <f>Suiza_Calculos!P6</f>
        <v/>
      </c>
      <c r="H6" s="9">
        <f>Ecuador_Calculos!Q6</f>
        <v/>
      </c>
      <c r="I6" s="9">
        <f>Suiza_Calculos!Q6</f>
        <v/>
      </c>
    </row>
    <row r="7" ht="20" customHeight="1">
      <c r="A7" s="4" t="inlineStr">
        <is>
          <t>2002</t>
        </is>
      </c>
      <c r="B7" s="5">
        <f>Ecuador_Calculos!N7</f>
        <v/>
      </c>
      <c r="C7" s="5">
        <f>Suiza_Calculos!N7</f>
        <v/>
      </c>
      <c r="D7" s="5">
        <f>Ecuador_Calculos!O7</f>
        <v/>
      </c>
      <c r="E7" s="5">
        <f>Suiza_Calculos!O7</f>
        <v/>
      </c>
      <c r="F7" s="5">
        <f>Ecuador_Calculos!P7</f>
        <v/>
      </c>
      <c r="G7" s="5">
        <f>Suiza_Calculos!P7</f>
        <v/>
      </c>
      <c r="H7" s="5">
        <f>Ecuador_Calculos!Q7</f>
        <v/>
      </c>
      <c r="I7" s="5">
        <f>Suiza_Calculos!Q7</f>
        <v/>
      </c>
    </row>
    <row r="8" ht="20" customHeight="1">
      <c r="A8" s="8" t="inlineStr">
        <is>
          <t>2003</t>
        </is>
      </c>
      <c r="B8" s="9">
        <f>Ecuador_Calculos!N8</f>
        <v/>
      </c>
      <c r="C8" s="9">
        <f>Suiza_Calculos!N8</f>
        <v/>
      </c>
      <c r="D8" s="9">
        <f>Ecuador_Calculos!O8</f>
        <v/>
      </c>
      <c r="E8" s="9">
        <f>Suiza_Calculos!O8</f>
        <v/>
      </c>
      <c r="F8" s="9">
        <f>Ecuador_Calculos!P8</f>
        <v/>
      </c>
      <c r="G8" s="9">
        <f>Suiza_Calculos!P8</f>
        <v/>
      </c>
      <c r="H8" s="9">
        <f>Ecuador_Calculos!Q8</f>
        <v/>
      </c>
      <c r="I8" s="9">
        <f>Suiza_Calculos!Q8</f>
        <v/>
      </c>
    </row>
    <row r="9" ht="20" customHeight="1">
      <c r="A9" s="4" t="inlineStr">
        <is>
          <t>2004</t>
        </is>
      </c>
      <c r="B9" s="5">
        <f>Ecuador_Calculos!N9</f>
        <v/>
      </c>
      <c r="C9" s="5">
        <f>Suiza_Calculos!N9</f>
        <v/>
      </c>
      <c r="D9" s="5">
        <f>Ecuador_Calculos!O9</f>
        <v/>
      </c>
      <c r="E9" s="5">
        <f>Suiza_Calculos!O9</f>
        <v/>
      </c>
      <c r="F9" s="5">
        <f>Ecuador_Calculos!P9</f>
        <v/>
      </c>
      <c r="G9" s="5">
        <f>Suiza_Calculos!P9</f>
        <v/>
      </c>
      <c r="H9" s="5">
        <f>Ecuador_Calculos!Q9</f>
        <v/>
      </c>
      <c r="I9" s="5">
        <f>Suiza_Calculos!Q9</f>
        <v/>
      </c>
    </row>
    <row r="10" ht="20" customHeight="1">
      <c r="A10" s="8" t="inlineStr">
        <is>
          <t>2005</t>
        </is>
      </c>
      <c r="B10" s="9">
        <f>Ecuador_Calculos!N10</f>
        <v/>
      </c>
      <c r="C10" s="9">
        <f>Suiza_Calculos!N10</f>
        <v/>
      </c>
      <c r="D10" s="9">
        <f>Ecuador_Calculos!O10</f>
        <v/>
      </c>
      <c r="E10" s="9">
        <f>Suiza_Calculos!O10</f>
        <v/>
      </c>
      <c r="F10" s="9">
        <f>Ecuador_Calculos!P10</f>
        <v/>
      </c>
      <c r="G10" s="9">
        <f>Suiza_Calculos!P10</f>
        <v/>
      </c>
      <c r="H10" s="9">
        <f>Ecuador_Calculos!Q10</f>
        <v/>
      </c>
      <c r="I10" s="9">
        <f>Suiza_Calculos!Q10</f>
        <v/>
      </c>
    </row>
    <row r="11" ht="20" customHeight="1">
      <c r="A11" s="4" t="inlineStr">
        <is>
          <t>2006</t>
        </is>
      </c>
      <c r="B11" s="5">
        <f>Ecuador_Calculos!N11</f>
        <v/>
      </c>
      <c r="C11" s="5">
        <f>Suiza_Calculos!N11</f>
        <v/>
      </c>
      <c r="D11" s="5">
        <f>Ecuador_Calculos!O11</f>
        <v/>
      </c>
      <c r="E11" s="5">
        <f>Suiza_Calculos!O11</f>
        <v/>
      </c>
      <c r="F11" s="5">
        <f>Ecuador_Calculos!P11</f>
        <v/>
      </c>
      <c r="G11" s="5">
        <f>Suiza_Calculos!P11</f>
        <v/>
      </c>
      <c r="H11" s="5">
        <f>Ecuador_Calculos!Q11</f>
        <v/>
      </c>
      <c r="I11" s="5">
        <f>Suiza_Calculos!Q11</f>
        <v/>
      </c>
    </row>
    <row r="12" ht="20" customHeight="1">
      <c r="A12" s="8" t="inlineStr">
        <is>
          <t>2007</t>
        </is>
      </c>
      <c r="B12" s="9">
        <f>Ecuador_Calculos!N12</f>
        <v/>
      </c>
      <c r="C12" s="9">
        <f>Suiza_Calculos!N12</f>
        <v/>
      </c>
      <c r="D12" s="9">
        <f>Ecuador_Calculos!O12</f>
        <v/>
      </c>
      <c r="E12" s="9">
        <f>Suiza_Calculos!O12</f>
        <v/>
      </c>
      <c r="F12" s="9">
        <f>Ecuador_Calculos!P12</f>
        <v/>
      </c>
      <c r="G12" s="9">
        <f>Suiza_Calculos!P12</f>
        <v/>
      </c>
      <c r="H12" s="9">
        <f>Ecuador_Calculos!Q12</f>
        <v/>
      </c>
      <c r="I12" s="9">
        <f>Suiza_Calculos!Q12</f>
        <v/>
      </c>
    </row>
    <row r="13" ht="20" customHeight="1">
      <c r="A13" s="4" t="inlineStr">
        <is>
          <t>2008</t>
        </is>
      </c>
      <c r="B13" s="5">
        <f>Ecuador_Calculos!N13</f>
        <v/>
      </c>
      <c r="C13" s="5">
        <f>Suiza_Calculos!N13</f>
        <v/>
      </c>
      <c r="D13" s="5">
        <f>Ecuador_Calculos!O13</f>
        <v/>
      </c>
      <c r="E13" s="5">
        <f>Suiza_Calculos!O13</f>
        <v/>
      </c>
      <c r="F13" s="5">
        <f>Ecuador_Calculos!P13</f>
        <v/>
      </c>
      <c r="G13" s="5">
        <f>Suiza_Calculos!P13</f>
        <v/>
      </c>
      <c r="H13" s="5">
        <f>Ecuador_Calculos!Q13</f>
        <v/>
      </c>
      <c r="I13" s="5">
        <f>Suiza_Calculos!Q13</f>
        <v/>
      </c>
    </row>
    <row r="14" ht="20" customHeight="1">
      <c r="A14" s="8" t="inlineStr">
        <is>
          <t>2009</t>
        </is>
      </c>
      <c r="B14" s="9">
        <f>Ecuador_Calculos!N14</f>
        <v/>
      </c>
      <c r="C14" s="9">
        <f>Suiza_Calculos!N14</f>
        <v/>
      </c>
      <c r="D14" s="9">
        <f>Ecuador_Calculos!O14</f>
        <v/>
      </c>
      <c r="E14" s="9">
        <f>Suiza_Calculos!O14</f>
        <v/>
      </c>
      <c r="F14" s="9">
        <f>Ecuador_Calculos!P14</f>
        <v/>
      </c>
      <c r="G14" s="9">
        <f>Suiza_Calculos!P14</f>
        <v/>
      </c>
      <c r="H14" s="9">
        <f>Ecuador_Calculos!Q14</f>
        <v/>
      </c>
      <c r="I14" s="9">
        <f>Suiza_Calculos!Q14</f>
        <v/>
      </c>
    </row>
    <row r="15" ht="20" customHeight="1">
      <c r="A15" s="4" t="inlineStr">
        <is>
          <t>2010</t>
        </is>
      </c>
      <c r="B15" s="5">
        <f>Ecuador_Calculos!N15</f>
        <v/>
      </c>
      <c r="C15" s="5">
        <f>Suiza_Calculos!N15</f>
        <v/>
      </c>
      <c r="D15" s="5">
        <f>Ecuador_Calculos!O15</f>
        <v/>
      </c>
      <c r="E15" s="5">
        <f>Suiza_Calculos!O15</f>
        <v/>
      </c>
      <c r="F15" s="5">
        <f>Ecuador_Calculos!P15</f>
        <v/>
      </c>
      <c r="G15" s="5">
        <f>Suiza_Calculos!P15</f>
        <v/>
      </c>
      <c r="H15" s="5">
        <f>Ecuador_Calculos!Q15</f>
        <v/>
      </c>
      <c r="I15" s="5">
        <f>Suiza_Calculos!Q15</f>
        <v/>
      </c>
    </row>
    <row r="16" ht="20" customHeight="1">
      <c r="A16" s="8" t="inlineStr">
        <is>
          <t>2011</t>
        </is>
      </c>
      <c r="B16" s="9">
        <f>Ecuador_Calculos!N16</f>
        <v/>
      </c>
      <c r="C16" s="9">
        <f>Suiza_Calculos!N16</f>
        <v/>
      </c>
      <c r="D16" s="9">
        <f>Ecuador_Calculos!O16</f>
        <v/>
      </c>
      <c r="E16" s="9">
        <f>Suiza_Calculos!O16</f>
        <v/>
      </c>
      <c r="F16" s="9">
        <f>Ecuador_Calculos!P16</f>
        <v/>
      </c>
      <c r="G16" s="9">
        <f>Suiza_Calculos!P16</f>
        <v/>
      </c>
      <c r="H16" s="9">
        <f>Ecuador_Calculos!Q16</f>
        <v/>
      </c>
      <c r="I16" s="9">
        <f>Suiza_Calculos!Q16</f>
        <v/>
      </c>
    </row>
    <row r="17" ht="20" customHeight="1">
      <c r="A17" s="4" t="inlineStr">
        <is>
          <t>2012</t>
        </is>
      </c>
      <c r="B17" s="5">
        <f>Ecuador_Calculos!N17</f>
        <v/>
      </c>
      <c r="C17" s="5">
        <f>Suiza_Calculos!N17</f>
        <v/>
      </c>
      <c r="D17" s="5">
        <f>Ecuador_Calculos!O17</f>
        <v/>
      </c>
      <c r="E17" s="5">
        <f>Suiza_Calculos!O17</f>
        <v/>
      </c>
      <c r="F17" s="5">
        <f>Ecuador_Calculos!P17</f>
        <v/>
      </c>
      <c r="G17" s="5">
        <f>Suiza_Calculos!P17</f>
        <v/>
      </c>
      <c r="H17" s="5">
        <f>Ecuador_Calculos!Q17</f>
        <v/>
      </c>
      <c r="I17" s="5">
        <f>Suiza_Calculos!Q17</f>
        <v/>
      </c>
    </row>
    <row r="18" ht="20" customHeight="1">
      <c r="A18" s="8" t="inlineStr">
        <is>
          <t>2013</t>
        </is>
      </c>
      <c r="B18" s="9">
        <f>Ecuador_Calculos!N18</f>
        <v/>
      </c>
      <c r="C18" s="9">
        <f>Suiza_Calculos!N18</f>
        <v/>
      </c>
      <c r="D18" s="9">
        <f>Ecuador_Calculos!O18</f>
        <v/>
      </c>
      <c r="E18" s="9">
        <f>Suiza_Calculos!O18</f>
        <v/>
      </c>
      <c r="F18" s="9">
        <f>Ecuador_Calculos!P18</f>
        <v/>
      </c>
      <c r="G18" s="9">
        <f>Suiza_Calculos!P18</f>
        <v/>
      </c>
      <c r="H18" s="9">
        <f>Ecuador_Calculos!Q18</f>
        <v/>
      </c>
      <c r="I18" s="9">
        <f>Suiza_Calculos!Q18</f>
        <v/>
      </c>
    </row>
    <row r="19" ht="20" customHeight="1">
      <c r="A19" s="4" t="inlineStr">
        <is>
          <t>2014</t>
        </is>
      </c>
      <c r="B19" s="5">
        <f>Ecuador_Calculos!N19</f>
        <v/>
      </c>
      <c r="C19" s="5">
        <f>Suiza_Calculos!N19</f>
        <v/>
      </c>
      <c r="D19" s="5">
        <f>Ecuador_Calculos!O19</f>
        <v/>
      </c>
      <c r="E19" s="5">
        <f>Suiza_Calculos!O19</f>
        <v/>
      </c>
      <c r="F19" s="5">
        <f>Ecuador_Calculos!P19</f>
        <v/>
      </c>
      <c r="G19" s="5">
        <f>Suiza_Calculos!P19</f>
        <v/>
      </c>
      <c r="H19" s="5">
        <f>Ecuador_Calculos!Q19</f>
        <v/>
      </c>
      <c r="I19" s="5">
        <f>Suiza_Calculos!Q19</f>
        <v/>
      </c>
    </row>
    <row r="20" ht="20" customHeight="1">
      <c r="A20" s="8" t="inlineStr">
        <is>
          <t>2015</t>
        </is>
      </c>
      <c r="B20" s="9">
        <f>Ecuador_Calculos!N20</f>
        <v/>
      </c>
      <c r="C20" s="9">
        <f>Suiza_Calculos!N20</f>
        <v/>
      </c>
      <c r="D20" s="9">
        <f>Ecuador_Calculos!O20</f>
        <v/>
      </c>
      <c r="E20" s="9">
        <f>Suiza_Calculos!O20</f>
        <v/>
      </c>
      <c r="F20" s="9">
        <f>Ecuador_Calculos!P20</f>
        <v/>
      </c>
      <c r="G20" s="9">
        <f>Suiza_Calculos!P20</f>
        <v/>
      </c>
      <c r="H20" s="9">
        <f>Ecuador_Calculos!Q20</f>
        <v/>
      </c>
      <c r="I20" s="9">
        <f>Suiza_Calculos!Q20</f>
        <v/>
      </c>
    </row>
    <row r="21" ht="20" customHeight="1">
      <c r="A21" s="4" t="inlineStr">
        <is>
          <t>2016</t>
        </is>
      </c>
      <c r="B21" s="5">
        <f>Ecuador_Calculos!N21</f>
        <v/>
      </c>
      <c r="C21" s="5">
        <f>Suiza_Calculos!N21</f>
        <v/>
      </c>
      <c r="D21" s="5">
        <f>Ecuador_Calculos!O21</f>
        <v/>
      </c>
      <c r="E21" s="5">
        <f>Suiza_Calculos!O21</f>
        <v/>
      </c>
      <c r="F21" s="5">
        <f>Ecuador_Calculos!P21</f>
        <v/>
      </c>
      <c r="G21" s="5">
        <f>Suiza_Calculos!P21</f>
        <v/>
      </c>
      <c r="H21" s="5">
        <f>Ecuador_Calculos!Q21</f>
        <v/>
      </c>
      <c r="I21" s="5">
        <f>Suiza_Calculos!Q21</f>
        <v/>
      </c>
    </row>
    <row r="22" ht="20" customHeight="1">
      <c r="A22" s="8" t="inlineStr">
        <is>
          <t>2017</t>
        </is>
      </c>
      <c r="B22" s="9">
        <f>Ecuador_Calculos!N22</f>
        <v/>
      </c>
      <c r="C22" s="9">
        <f>Suiza_Calculos!N22</f>
        <v/>
      </c>
      <c r="D22" s="9">
        <f>Ecuador_Calculos!O22</f>
        <v/>
      </c>
      <c r="E22" s="9">
        <f>Suiza_Calculos!O22</f>
        <v/>
      </c>
      <c r="F22" s="9">
        <f>Ecuador_Calculos!P22</f>
        <v/>
      </c>
      <c r="G22" s="9">
        <f>Suiza_Calculos!P22</f>
        <v/>
      </c>
      <c r="H22" s="9">
        <f>Ecuador_Calculos!Q22</f>
        <v/>
      </c>
      <c r="I22" s="9">
        <f>Suiza_Calculos!Q22</f>
        <v/>
      </c>
    </row>
    <row r="23" ht="20" customHeight="1">
      <c r="A23" s="4" t="inlineStr">
        <is>
          <t>2018</t>
        </is>
      </c>
      <c r="B23" s="5">
        <f>Ecuador_Calculos!N23</f>
        <v/>
      </c>
      <c r="C23" s="5">
        <f>Suiza_Calculos!N23</f>
        <v/>
      </c>
      <c r="D23" s="5">
        <f>Ecuador_Calculos!O23</f>
        <v/>
      </c>
      <c r="E23" s="5">
        <f>Suiza_Calculos!O23</f>
        <v/>
      </c>
      <c r="F23" s="5">
        <f>Ecuador_Calculos!P23</f>
        <v/>
      </c>
      <c r="G23" s="5">
        <f>Suiza_Calculos!P23</f>
        <v/>
      </c>
      <c r="H23" s="5">
        <f>Ecuador_Calculos!Q23</f>
        <v/>
      </c>
      <c r="I23" s="5">
        <f>Suiza_Calculos!Q23</f>
        <v/>
      </c>
    </row>
    <row r="24" ht="20" customHeight="1">
      <c r="A24" s="8" t="inlineStr">
        <is>
          <t>2019</t>
        </is>
      </c>
      <c r="B24" s="9">
        <f>Ecuador_Calculos!N24</f>
        <v/>
      </c>
      <c r="C24" s="9">
        <f>Suiza_Calculos!N24</f>
        <v/>
      </c>
      <c r="D24" s="9">
        <f>Ecuador_Calculos!O24</f>
        <v/>
      </c>
      <c r="E24" s="9">
        <f>Suiza_Calculos!O24</f>
        <v/>
      </c>
      <c r="F24" s="9">
        <f>Ecuador_Calculos!P24</f>
        <v/>
      </c>
      <c r="G24" s="9">
        <f>Suiza_Calculos!P24</f>
        <v/>
      </c>
      <c r="H24" s="9">
        <f>Ecuador_Calculos!Q24</f>
        <v/>
      </c>
      <c r="I24" s="9">
        <f>Suiza_Calculos!Q24</f>
        <v/>
      </c>
    </row>
    <row r="25" ht="20" customHeight="1">
      <c r="A25" s="4" t="inlineStr">
        <is>
          <t>2020</t>
        </is>
      </c>
      <c r="B25" s="5">
        <f>Ecuador_Calculos!N25</f>
        <v/>
      </c>
      <c r="C25" s="5">
        <f>Suiza_Calculos!N25</f>
        <v/>
      </c>
      <c r="D25" s="5">
        <f>Ecuador_Calculos!O25</f>
        <v/>
      </c>
      <c r="E25" s="5">
        <f>Suiza_Calculos!O25</f>
        <v/>
      </c>
      <c r="F25" s="5">
        <f>Ecuador_Calculos!P25</f>
        <v/>
      </c>
      <c r="G25" s="5">
        <f>Suiza_Calculos!P25</f>
        <v/>
      </c>
      <c r="H25" s="5">
        <f>Ecuador_Calculos!Q25</f>
        <v/>
      </c>
      <c r="I25" s="5">
        <f>Suiza_Calculos!Q25</f>
        <v/>
      </c>
    </row>
    <row r="26" ht="22" customHeight="1">
      <c r="A26" s="12" t="inlineStr">
        <is>
          <t>Promedio</t>
        </is>
      </c>
      <c r="B26" s="14">
        <f>AVERAGE(B5:B25)</f>
        <v/>
      </c>
      <c r="C26" s="14">
        <f>AVERAGE(C5:C25)</f>
        <v/>
      </c>
      <c r="D26" s="14">
        <f>AVERAGE(D5:D25)</f>
        <v/>
      </c>
      <c r="E26" s="14">
        <f>AVERAGE(E5:E25)</f>
        <v/>
      </c>
      <c r="F26" s="14">
        <f>AVERAGE(F5:F25)</f>
        <v/>
      </c>
      <c r="G26" s="14">
        <f>AVERAGE(G5:G25)</f>
        <v/>
      </c>
      <c r="H26" s="14">
        <f>AVERAGE(H5:H25)</f>
        <v/>
      </c>
      <c r="I26" s="14">
        <f>AVERAGE(I5:I25)</f>
        <v/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workbookViewId="0">
      <selection activeCell="A1" sqref="A1"/>
    </sheetView>
  </sheetViews>
  <sheetFormatPr baseColWidth="8" defaultRowHeight="15"/>
  <sheetData>
    <row r="1" ht="25" customHeight="1">
      <c r="A1" s="18" t="inlineStr">
        <is>
          <t>IDH Oficial: Ecuador vs Suiza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workbookViewId="0">
      <selection activeCell="A1" sqref="A1"/>
    </sheetView>
  </sheetViews>
  <sheetFormatPr baseColWidth="8" defaultRowHeight="15"/>
  <sheetData>
    <row r="1" ht="25" customHeight="1">
      <c r="A1" s="18" t="inlineStr">
        <is>
          <t>IDH Ajustado por Desigualdad (IHDI): Ecuador vs Suiza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workbookViewId="0">
      <selection activeCell="A1" sqref="A1"/>
    </sheetView>
  </sheetViews>
  <sheetFormatPr baseColWidth="8" defaultRowHeight="15"/>
  <sheetData>
    <row r="1" ht="25" customHeight="1">
      <c r="A1" s="18" t="inlineStr">
        <is>
          <t>IDH Ajustado por Presiones Planetarias (PHDI)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workbookViewId="0">
      <selection activeCell="A1" sqref="A1"/>
    </sheetView>
  </sheetViews>
  <sheetFormatPr baseColWidth="8" defaultRowHeight="15"/>
  <sheetData>
    <row r="1" ht="25" customHeight="1">
      <c r="A1" s="18" t="inlineStr">
        <is>
          <t>Índice de Desigualdad de Género (IDG / GII)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30" customWidth="1" min="3" max="3"/>
    <col width="20" customWidth="1" min="4" max="4"/>
    <col width="30" customWidth="1" min="5" max="5"/>
    <col width="35" customWidth="1" min="6" max="6"/>
  </cols>
  <sheetData>
    <row r="1" ht="30" customHeight="1">
      <c r="A1" s="1" t="inlineStr">
        <is>
          <t>Diccionario de Metadatos de Desarrollo Humano Oficial</t>
        </is>
      </c>
    </row>
    <row r="2">
      <c r="A2" s="2" t="inlineStr">
        <is>
          <t>Especificación de variables de los 4 indicadores oficiales del PNUD y su enlace de descarga.</t>
        </is>
      </c>
    </row>
    <row r="4" ht="25" customHeight="1">
      <c r="A4" s="3" t="inlineStr">
        <is>
          <t>Variable</t>
        </is>
      </c>
      <c r="B4" s="3" t="inlineStr">
        <is>
          <t>Definición Conceptual</t>
        </is>
      </c>
      <c r="C4" s="3" t="inlineStr">
        <is>
          <t>Fórmula / Dimensiones</t>
        </is>
      </c>
      <c r="D4" s="3" t="inlineStr">
        <is>
          <t>Unidad de Medida</t>
        </is>
      </c>
      <c r="E4" s="3" t="inlineStr">
        <is>
          <t>Fuente de Origen</t>
        </is>
      </c>
      <c r="F4" s="3" t="inlineStr">
        <is>
          <t>Enlace de Descarga</t>
        </is>
      </c>
    </row>
    <row r="5" ht="45" customHeight="1">
      <c r="A5" s="19" t="inlineStr">
        <is>
          <t>IDH (Índice de Desarrollo Humano)</t>
        </is>
      </c>
      <c r="B5" s="20" t="inlineStr">
        <is>
          <t>Medida sintética que evalúa el progreso medio de un país en tres dimensiones básicas: salud, educación y nivel de vida.</t>
        </is>
      </c>
      <c r="C5" s="20">
        <f>(I_Salud * I_Edu * I_Ing)^(1/3)</f>
        <v/>
      </c>
      <c r="D5" s="21" t="inlineStr">
        <is>
          <t>Índice (0 a 1)</t>
        </is>
      </c>
      <c r="E5" s="20" t="inlineStr">
        <is>
          <t>PNUD (Human Development Reports)</t>
        </is>
      </c>
      <c r="F5" s="22" t="inlineStr">
        <is>
          <t>https://hdr.undp.org/data-center</t>
        </is>
      </c>
    </row>
    <row r="6" ht="45" customHeight="1">
      <c r="A6" s="23" t="inlineStr">
        <is>
          <t>IHDI (IDH Ajustado por la Desigualdad)</t>
        </is>
      </c>
      <c r="B6" s="24" t="inlineStr">
        <is>
          <t>Evalúa el nivel de desarrollo humano ajustando el valor de cada dimensión en función de la desigualdad en su distribución entre la población.</t>
        </is>
      </c>
      <c r="C6" s="24">
        <f>IDH * (1 - Inequidad_Promedio)</f>
        <v/>
      </c>
      <c r="D6" s="25" t="inlineStr">
        <is>
          <t>Índice (0 a 1)</t>
        </is>
      </c>
      <c r="E6" s="24" t="inlineStr">
        <is>
          <t>PNUD (Atkinson's Inequality Index)</t>
        </is>
      </c>
      <c r="F6" s="26" t="inlineStr">
        <is>
          <t>https://hdr.undp.org/data-center</t>
        </is>
      </c>
    </row>
    <row r="7" ht="45" customHeight="1">
      <c r="A7" s="19" t="inlineStr">
        <is>
          <t>PHDI (IDH Ajustado por Presiones Planetarias)</t>
        </is>
      </c>
      <c r="B7" s="20" t="inlineStr">
        <is>
          <t>Ajusta el IDH oficial multiplicándolo por un factor de presión que considera las emisiones per cápita de CO2 y la huella material.</t>
        </is>
      </c>
      <c r="C7" s="20">
        <f>IDH * S_Factor_Presión_Ambiental</f>
        <v/>
      </c>
      <c r="D7" s="21" t="inlineStr">
        <is>
          <t>Índice (0 a 1)</t>
        </is>
      </c>
      <c r="E7" s="20" t="inlineStr">
        <is>
          <t>PNUD (Planetary Pressures)</t>
        </is>
      </c>
      <c r="F7" s="22" t="inlineStr">
        <is>
          <t>https://hdr.undp.org/data-center</t>
        </is>
      </c>
    </row>
    <row r="8" ht="45" customHeight="1">
      <c r="A8" s="23" t="inlineStr">
        <is>
          <t>IDG / GII (Índice de Desigualdad de Género)</t>
        </is>
      </c>
      <c r="B8" s="24" t="inlineStr">
        <is>
          <t>Mide las desventajas de las mujeres en tres dimensiones básicas: salud reproductiva, empoderamiento y mercado laboral. Cero significa igualdad perfecta.</t>
        </is>
      </c>
      <c r="C8" s="24" t="inlineStr">
        <is>
          <t>Fórmula combinada de medias geométricas por género (GII)</t>
        </is>
      </c>
      <c r="D8" s="25" t="inlineStr">
        <is>
          <t>Índice (0 a 1), donde menor es mejor</t>
        </is>
      </c>
      <c r="E8" s="24" t="inlineStr">
        <is>
          <t>PNUD (Gender Gaps)</t>
        </is>
      </c>
      <c r="F8" s="26" t="inlineStr">
        <is>
          <t>https://hdr.undp.org/data-center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2026-05-20T15:44:30Z</dcterms:created>
  <dcterms:modified xmlns:dcterms="http://purl.org/dc/terms/" xmlns:xsi="http://www.w3.org/2001/XMLSchema-instance" xsi:type="dcterms:W3CDTF">2026-05-20T15:44:30Z</dcterms:modified>
</cp:coreProperties>
</file>