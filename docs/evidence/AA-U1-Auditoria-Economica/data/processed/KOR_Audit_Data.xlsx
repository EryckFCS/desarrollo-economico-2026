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as" sheetId="1" state="visible" r:id="rId1"/>
    <sheet xmlns:r="http://schemas.openxmlformats.org/officeDocument/2006/relationships" name="MainData" sheetId="2" state="visible" r:id="rId2"/>
    <sheet xmlns:r="http://schemas.openxmlformats.org/officeDocument/2006/relationships" name="Diccionario" sheetId="3" state="visible" r:id="rId3"/>
    <sheet xmlns:r="http://schemas.openxmlformats.org/officeDocument/2006/relationships" name="Gráficos" sheetId="4" state="visible" r:id="rId4"/>
    <sheet xmlns:r="http://schemas.openxmlformats.org/officeDocument/2006/relationships" name="Interpretació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Trayectoria de Modernización</a:t>
            </a:r>
          </a:p>
        </rich>
      </tx>
    </title>
    <plotArea>
      <lineChart>
        <grouping val="standard"/>
        <ser>
          <idx val="0"/>
          <order val="0"/>
          <tx>
            <strRef>
              <f>'MainData'!I1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'MainData'!$A$2:$A$42</f>
            </numRef>
          </cat>
          <val>
            <numRef>
              <f>'MainData'!$I$2:$I$42</f>
            </numRef>
          </val>
        </ser>
        <ser>
          <idx val="1"/>
          <order val="1"/>
          <tx>
            <strRef>
              <f>'MainData'!J1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'MainData'!$A$2:$A$42</f>
            </numRef>
          </cat>
          <val>
            <numRef>
              <f>'MainData'!$J$2:$J$42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Año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Índice (0-1)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Dinámica de Inversión y IED</a:t>
            </a:r>
          </a:p>
        </rich>
      </tx>
    </title>
    <plotArea>
      <lineChart>
        <grouping val="standard"/>
        <ser>
          <idx val="0"/>
          <order val="0"/>
          <tx>
            <strRef>
              <f>'MainData'!O1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'MainData'!$A$2:$A$42</f>
            </numRef>
          </cat>
          <val>
            <numRef>
              <f>'MainData'!$O$2:$O$42</f>
            </numRef>
          </val>
        </ser>
        <ser>
          <idx val="1"/>
          <order val="1"/>
          <tx>
            <strRef>
              <f>'MainData'!P1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'MainData'!$A$2:$A$42</f>
            </numRef>
          </cat>
          <val>
            <numRef>
              <f>'MainData'!$P$2:$P$42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Año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Índice (0-1)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Estructura Productiva</a:t>
            </a:r>
          </a:p>
        </rich>
      </tx>
    </title>
    <plotArea>
      <lineChart>
        <grouping val="standard"/>
        <ser>
          <idx val="0"/>
          <order val="0"/>
          <tx>
            <strRef>
              <f>'MainData'!K1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'MainData'!$A$2:$A$42</f>
            </numRef>
          </cat>
          <val>
            <numRef>
              <f>'MainData'!$K$2:$K$42</f>
            </numRef>
          </val>
        </ser>
        <ser>
          <idx val="1"/>
          <order val="1"/>
          <tx>
            <strRef>
              <f>'MainData'!Q1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'MainData'!$A$2:$A$42</f>
            </numRef>
          </cat>
          <val>
            <numRef>
              <f>'MainData'!$Q$2:$Q$42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Año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Índice (0-1)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Empleo y Entorno Externo</a:t>
            </a:r>
          </a:p>
        </rich>
      </tx>
    </title>
    <plotArea>
      <lineChart>
        <grouping val="standard"/>
        <ser>
          <idx val="0"/>
          <order val="0"/>
          <tx>
            <strRef>
              <f>'MainData'!L1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'MainData'!$A$2:$A$42</f>
            </numRef>
          </cat>
          <val>
            <numRef>
              <f>'MainData'!$L$2:$L$42</f>
            </numRef>
          </val>
        </ser>
        <ser>
          <idx val="1"/>
          <order val="1"/>
          <tx>
            <strRef>
              <f>'MainData'!R1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'MainData'!$A$2:$A$42</f>
            </numRef>
          </cat>
          <val>
            <numRef>
              <f>'MainData'!$R$2:$R$42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Año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Índice (0-1)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</col>
      <colOff>0</colOff>
      <row>19</row>
      <rowOff>0</rowOff>
    </from>
    <ext cx="540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16</col>
      <colOff>0</colOff>
      <row>1</row>
      <rowOff>0</rowOff>
    </from>
    <ext cx="540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16</col>
      <colOff>0</colOff>
      <row>19</row>
      <rowOff>0</rowOff>
    </from>
    <ext cx="540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60" customWidth="1" min="3" max="3"/>
  </cols>
  <sheetData>
    <row r="1">
      <c r="A1" s="1" t="inlineStr">
        <is>
          <t>Concepto</t>
        </is>
      </c>
      <c r="B1" s="1" t="inlineStr">
        <is>
          <t>Detalle</t>
        </is>
      </c>
      <c r="C1" s="1" t="inlineStr">
        <is>
          <t>Justificación / Racional</t>
        </is>
      </c>
    </row>
    <row r="2">
      <c r="A2" s="2" t="inlineStr">
        <is>
          <t>Fuente de Datos</t>
        </is>
      </c>
      <c r="B2" s="2" t="inlineStr">
        <is>
          <t>Penn World Table 11.0 y Banco Mundial</t>
        </is>
      </c>
      <c r="C2" s="2" t="inlineStr">
        <is>
          <t>Se expandió el dataset para incluir indicadores de Inversión, IED e Industrialización según el sílabo AA-U1.</t>
        </is>
      </c>
    </row>
    <row r="3">
      <c r="A3" s="3" t="inlineStr">
        <is>
          <t>Normalización Min-Max</t>
        </is>
      </c>
      <c r="B3" s="3" t="inlineStr">
        <is>
          <t>Fórmula: (x - min) / (max - min)</t>
        </is>
      </c>
      <c r="C3" s="3" t="inlineStr">
        <is>
          <t>Fundamental para el análisis gráfico. Permite que variables en escalas dispares (millones vs porcentajes) sean comparables.</t>
        </is>
      </c>
    </row>
    <row r="4">
      <c r="A4" s="2" t="inlineStr">
        <is>
          <t>Modernización vs Estructuralismo</t>
        </is>
      </c>
      <c r="B4" s="2" t="inlineStr">
        <is>
          <t>Variables de Acumulación y Estructura</t>
        </is>
      </c>
      <c r="C4" s="2" t="inlineStr">
        <is>
          <t>La Inversión y el Empleo validan la Modernización, mientras que la IED y el Valor Agregado Industrial validan la inserción externa.</t>
        </is>
      </c>
    </row>
    <row r="5">
      <c r="A5" s="3" t="inlineStr">
        <is>
          <t>Calidad de Datos</t>
        </is>
      </c>
      <c r="B5" s="3" t="inlineStr">
        <is>
          <t>Tratamiento de Series</t>
        </is>
      </c>
      <c r="C5" s="3" t="inlineStr">
        <is>
          <t>Se utilizaron las series 'net inflows' para IED y 'value added' para industria para reflejar el impacto real en el producto.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2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s="1" t="inlineStr">
        <is>
          <t>year</t>
        </is>
      </c>
      <c r="B1" s="1" t="inlineStr">
        <is>
          <t>countrycode</t>
        </is>
      </c>
      <c r="C1" s="1" t="inlineStr">
        <is>
          <t>rgdpna</t>
        </is>
      </c>
      <c r="D1" s="1" t="inlineStr">
        <is>
          <t>pop</t>
        </is>
      </c>
      <c r="E1" s="1" t="inlineStr">
        <is>
          <t>hc</t>
        </is>
      </c>
      <c r="F1" s="1" t="inlineStr">
        <is>
          <t>manuf_exports_raw</t>
        </is>
      </c>
      <c r="G1" s="1" t="inlineStr">
        <is>
          <t>terms_of_trade_raw</t>
        </is>
      </c>
      <c r="H1" s="1" t="inlineStr">
        <is>
          <t>gdp_pc</t>
        </is>
      </c>
      <c r="I1" s="1" t="inlineStr">
        <is>
          <t>gdp_pc_norm</t>
        </is>
      </c>
      <c r="J1" s="1" t="inlineStr">
        <is>
          <t>hc_norm</t>
        </is>
      </c>
      <c r="K1" s="1" t="inlineStr">
        <is>
          <t>manuf_exports_norm</t>
        </is>
      </c>
      <c r="L1" s="1" t="inlineStr">
        <is>
          <t>terms_of_trade_norm</t>
        </is>
      </c>
      <c r="M1" s="1" t="inlineStr">
        <is>
          <t>fdi_pct_gdp</t>
        </is>
      </c>
      <c r="N1" s="1" t="inlineStr">
        <is>
          <t>ind_va_pct</t>
        </is>
      </c>
      <c r="O1" s="1" t="inlineStr">
        <is>
          <t>csh_i</t>
        </is>
      </c>
      <c r="P1" s="1" t="inlineStr">
        <is>
          <t>emp</t>
        </is>
      </c>
      <c r="Q1" s="1" t="inlineStr">
        <is>
          <t>csh_i_norm</t>
        </is>
      </c>
      <c r="R1" s="1" t="inlineStr">
        <is>
          <t>fdi_norm</t>
        </is>
      </c>
      <c r="S1" s="1" t="inlineStr">
        <is>
          <t>ind_va_norm</t>
        </is>
      </c>
      <c r="T1" s="1" t="inlineStr">
        <is>
          <t>emp_norm</t>
        </is>
      </c>
    </row>
    <row r="2">
      <c r="A2" s="4" t="n">
        <v>1980</v>
      </c>
      <c r="B2" s="2" t="inlineStr">
        <is>
          <t>KOR</t>
        </is>
      </c>
      <c r="C2" s="4" t="n">
        <v>244998.171875</v>
      </c>
      <c r="D2" s="4" t="n">
        <v>38.141107</v>
      </c>
      <c r="E2" s="4" t="n">
        <v>2.39511895179749</v>
      </c>
      <c r="F2" s="4" t="n">
        <v>89.5475567614332</v>
      </c>
      <c r="G2" s="4" t="n">
        <v>193.616783024</v>
      </c>
      <c r="H2" s="4" t="n">
        <v>6423.467779133941</v>
      </c>
      <c r="I2" s="4" t="n">
        <v>0</v>
      </c>
      <c r="J2" s="4" t="n">
        <v>0</v>
      </c>
      <c r="K2" s="4" t="n">
        <v>0.5775298862175778</v>
      </c>
      <c r="L2" s="4" t="n">
        <v>0.7261733503051347</v>
      </c>
      <c r="M2" s="4" t="n">
        <v>0.07099999999999999</v>
      </c>
      <c r="N2" s="4" t="n">
        <v>40.06</v>
      </c>
      <c r="O2" s="4" t="n">
        <v>0.362189590930939</v>
      </c>
      <c r="P2" s="4" t="n">
        <v>13.8832302093506</v>
      </c>
      <c r="Q2" s="4" t="n">
        <v>0.2839172829244201</v>
      </c>
      <c r="R2" s="4" t="n">
        <v>0</v>
      </c>
      <c r="S2" s="4" t="n">
        <v>0.902589395807645</v>
      </c>
      <c r="T2" s="4" t="n">
        <v>0</v>
      </c>
    </row>
    <row r="3">
      <c r="A3" s="5" t="n">
        <v>1981</v>
      </c>
      <c r="B3" s="3" t="inlineStr">
        <is>
          <t>KOR</t>
        </is>
      </c>
      <c r="C3" s="5" t="n">
        <v>263137.40625</v>
      </c>
      <c r="D3" s="5" t="n">
        <v>38.689189</v>
      </c>
      <c r="E3" s="5" t="n">
        <v>2.44942378997803</v>
      </c>
      <c r="F3" s="5" t="n">
        <v>89.99921832435921</v>
      </c>
      <c r="G3" s="5" t="n">
        <v>189.514732547</v>
      </c>
      <c r="H3" s="5" t="n">
        <v>6801.316157079436</v>
      </c>
      <c r="I3" s="5" t="n">
        <v>0.008291744527268359</v>
      </c>
      <c r="J3" s="5" t="n">
        <v>0.03971357946682404</v>
      </c>
      <c r="K3" s="5" t="n">
        <v>0.6293774588404684</v>
      </c>
      <c r="L3" s="5" t="n">
        <v>0.6987484933440731</v>
      </c>
      <c r="M3" s="5" t="n">
        <v>0.209</v>
      </c>
      <c r="N3" s="5" t="n">
        <v>39.43</v>
      </c>
      <c r="O3" s="5" t="n">
        <v>0.341974943876267</v>
      </c>
      <c r="P3" s="5" t="n">
        <v>14.2054681777954</v>
      </c>
      <c r="Q3" s="5" t="n">
        <v>0.1798935364248983</v>
      </c>
      <c r="R3" s="5" t="n">
        <v>0.06869089099054257</v>
      </c>
      <c r="S3" s="5" t="n">
        <v>0.8249075215782982</v>
      </c>
      <c r="T3" s="5" t="n">
        <v>0.02433025919508658</v>
      </c>
    </row>
    <row r="4">
      <c r="A4" s="4" t="n">
        <v>1982</v>
      </c>
      <c r="B4" s="2" t="inlineStr">
        <is>
          <t>KOR</t>
        </is>
      </c>
      <c r="C4" s="4" t="n">
        <v>285420.59375</v>
      </c>
      <c r="D4" s="4" t="n">
        <v>39.356154</v>
      </c>
      <c r="E4" s="4" t="n">
        <v>2.50495982170105</v>
      </c>
      <c r="F4" s="4" t="n">
        <v>91.1551245084913</v>
      </c>
      <c r="G4" s="4" t="n">
        <v>198.9456853511</v>
      </c>
      <c r="H4" s="4" t="n">
        <v>7252.248117283006</v>
      </c>
      <c r="I4" s="4" t="n">
        <v>0.01818728155066056</v>
      </c>
      <c r="J4" s="4" t="n">
        <v>0.08032754100321154</v>
      </c>
      <c r="K4" s="4" t="n">
        <v>0.7620673637302836</v>
      </c>
      <c r="L4" s="4" t="n">
        <v>0.7618005043100917</v>
      </c>
      <c r="M4" s="4" t="n">
        <v>0.151</v>
      </c>
      <c r="N4" s="4" t="n">
        <v>38.38</v>
      </c>
      <c r="O4" s="4" t="n">
        <v>0.33844855427742</v>
      </c>
      <c r="P4" s="4" t="n">
        <v>14.5528717041016</v>
      </c>
      <c r="Q4" s="4" t="n">
        <v>0.1617468798596417</v>
      </c>
      <c r="R4" s="4" t="n">
        <v>0.03982080637132902</v>
      </c>
      <c r="S4" s="4" t="n">
        <v>0.6954377311960543</v>
      </c>
      <c r="T4" s="4" t="n">
        <v>0.05056061895408831</v>
      </c>
    </row>
    <row r="5">
      <c r="A5" s="5" t="n">
        <v>1983</v>
      </c>
      <c r="B5" s="3" t="inlineStr">
        <is>
          <t>KOR</t>
        </is>
      </c>
      <c r="C5" s="5" t="n">
        <v>323857.625</v>
      </c>
      <c r="D5" s="5" t="n">
        <v>40.000941</v>
      </c>
      <c r="E5" s="5" t="n">
        <v>2.56117534637451</v>
      </c>
      <c r="F5" s="5" t="n">
        <v>90.9005997364565</v>
      </c>
      <c r="G5" s="5" t="n">
        <v>200.3654449594</v>
      </c>
      <c r="H5" s="5" t="n">
        <v>8096.25016071497</v>
      </c>
      <c r="I5" s="5" t="n">
        <v>0.03670859785928792</v>
      </c>
      <c r="J5" s="5" t="n">
        <v>0.1214384213812452</v>
      </c>
      <c r="K5" s="5" t="n">
        <v>0.732849708995823</v>
      </c>
      <c r="L5" s="5" t="n">
        <v>0.7712925143170472</v>
      </c>
      <c r="M5" s="5" t="n">
        <v>0.206</v>
      </c>
      <c r="N5" s="5" t="n">
        <v>38.29</v>
      </c>
      <c r="O5" s="5" t="n">
        <v>0.331109136343002</v>
      </c>
      <c r="P5" s="5" t="n">
        <v>14.6614952087402</v>
      </c>
      <c r="Q5" s="5" t="n">
        <v>0.123978535520061</v>
      </c>
      <c r="R5" s="5" t="n">
        <v>0.06719761075161773</v>
      </c>
      <c r="S5" s="5" t="n">
        <v>0.6843403205918616</v>
      </c>
      <c r="T5" s="5" t="n">
        <v>0.05876212927048846</v>
      </c>
    </row>
    <row r="6">
      <c r="A6" s="4" t="n">
        <v>1984</v>
      </c>
      <c r="B6" s="2" t="inlineStr">
        <is>
          <t>KOR</t>
        </is>
      </c>
      <c r="C6" s="4" t="n">
        <v>358305.0625</v>
      </c>
      <c r="D6" s="4" t="n">
        <v>40.5983</v>
      </c>
      <c r="E6" s="4" t="n">
        <v>2.6001284122467</v>
      </c>
      <c r="F6" s="4" t="n">
        <v>91.2225576254062</v>
      </c>
      <c r="G6" s="4" t="n">
        <v>202.9779718773</v>
      </c>
      <c r="H6" s="4" t="n">
        <v>8825.617390383341</v>
      </c>
      <c r="I6" s="4" t="n">
        <v>0.05271429508592516</v>
      </c>
      <c r="J6" s="4" t="n">
        <v>0.1499251221766451</v>
      </c>
      <c r="K6" s="4" t="n">
        <v>0.7698082115540021</v>
      </c>
      <c r="L6" s="4" t="n">
        <v>0.788758944199385</v>
      </c>
      <c r="M6" s="4" t="n">
        <v>0.224</v>
      </c>
      <c r="N6" s="4" t="n">
        <v>38.86</v>
      </c>
      <c r="O6" s="4" t="n">
        <v>0.319666028022766</v>
      </c>
      <c r="P6" s="4" t="n">
        <v>14.5727386474609</v>
      </c>
      <c r="Q6" s="4" t="n">
        <v>0.06509276839034599</v>
      </c>
      <c r="R6" s="4" t="n">
        <v>0.07615729218516677</v>
      </c>
      <c r="S6" s="4" t="n">
        <v>0.7546239210850799</v>
      </c>
      <c r="T6" s="4" t="n">
        <v>0.05206065286901999</v>
      </c>
    </row>
    <row r="7">
      <c r="A7" s="5" t="n">
        <v>1985</v>
      </c>
      <c r="B7" s="3" t="inlineStr">
        <is>
          <t>KOR</t>
        </is>
      </c>
      <c r="C7" s="5" t="n">
        <v>386750.1875</v>
      </c>
      <c r="D7" s="5" t="n">
        <v>41.148963</v>
      </c>
      <c r="E7" s="5" t="n">
        <v>2.63967394828796</v>
      </c>
      <c r="F7" s="5" t="n">
        <v>91.3112446405331</v>
      </c>
      <c r="G7" s="5" t="n">
        <v>204.6395206324</v>
      </c>
      <c r="H7" s="5" t="n">
        <v>9398.783330214177</v>
      </c>
      <c r="I7" s="5" t="n">
        <v>0.06529221210822483</v>
      </c>
      <c r="J7" s="5" t="n">
        <v>0.1788451013304639</v>
      </c>
      <c r="K7" s="5" t="n">
        <v>0.7799888574954259</v>
      </c>
      <c r="L7" s="5" t="n">
        <v>0.7998674708247747</v>
      </c>
      <c r="M7" s="5" t="n">
        <v>0.342</v>
      </c>
      <c r="N7" s="5" t="n">
        <v>38.31</v>
      </c>
      <c r="O7" s="5" t="n">
        <v>0.315530061721802</v>
      </c>
      <c r="P7" s="5" t="n">
        <v>15.104549407959</v>
      </c>
      <c r="Q7" s="5" t="n">
        <v>0.04380925506169702</v>
      </c>
      <c r="R7" s="5" t="n">
        <v>0.1348929815828771</v>
      </c>
      <c r="S7" s="5" t="n">
        <v>0.686806411837238</v>
      </c>
      <c r="T7" s="5" t="n">
        <v>0.09221449851328772</v>
      </c>
    </row>
    <row r="8">
      <c r="A8" s="4" t="n">
        <v>1986</v>
      </c>
      <c r="B8" s="2" t="inlineStr">
        <is>
          <t>KOR</t>
        </is>
      </c>
      <c r="C8" s="4" t="n">
        <v>431238</v>
      </c>
      <c r="D8" s="4" t="n">
        <v>41.718505</v>
      </c>
      <c r="E8" s="4" t="n">
        <v>2.6798210144043</v>
      </c>
      <c r="F8" s="4" t="n">
        <v>91.91609160521119</v>
      </c>
      <c r="G8" s="4" t="n">
        <v>222.9140594283</v>
      </c>
      <c r="H8" s="4" t="n">
        <v>10336.85171604304</v>
      </c>
      <c r="I8" s="4" t="n">
        <v>0.08587777991373741</v>
      </c>
      <c r="J8" s="4" t="n">
        <v>0.2082049844272604</v>
      </c>
      <c r="K8" s="4" t="n">
        <v>0.8494210374748847</v>
      </c>
      <c r="L8" s="4" t="n">
        <v>0.922044566235229</v>
      </c>
      <c r="M8" s="4" t="n">
        <v>0.569</v>
      </c>
      <c r="N8" s="4" t="n">
        <v>39.77</v>
      </c>
      <c r="O8" s="4" t="n">
        <v>0.319821149110794</v>
      </c>
      <c r="P8" s="4" t="n">
        <v>15.6358699798584</v>
      </c>
      <c r="Q8" s="4" t="n">
        <v>0.06589101516131922</v>
      </c>
      <c r="R8" s="4" t="n">
        <v>0.2478845196615231</v>
      </c>
      <c r="S8" s="4" t="n">
        <v>0.866831072749692</v>
      </c>
      <c r="T8" s="4" t="n">
        <v>0.1323313329520839</v>
      </c>
    </row>
    <row r="9">
      <c r="A9" s="5" t="n">
        <v>1987</v>
      </c>
      <c r="B9" s="3" t="inlineStr">
        <is>
          <t>KOR</t>
        </is>
      </c>
      <c r="C9" s="5" t="n">
        <v>486834.125</v>
      </c>
      <c r="D9" s="5" t="n">
        <v>42.322092</v>
      </c>
      <c r="E9" s="5" t="n">
        <v>2.72057843208313</v>
      </c>
      <c r="F9" s="5" t="n">
        <v>92.350498126727</v>
      </c>
      <c r="G9" s="5" t="n">
        <v>227.5471751353</v>
      </c>
      <c r="H9" s="5" t="n">
        <v>11503.07326490382</v>
      </c>
      <c r="I9" s="5" t="n">
        <v>0.1114700854780177</v>
      </c>
      <c r="J9" s="5" t="n">
        <v>0.2380112226940889</v>
      </c>
      <c r="K9" s="5" t="n">
        <v>0.8992878526323175</v>
      </c>
      <c r="L9" s="5" t="n">
        <v>0.9530199372748972</v>
      </c>
      <c r="M9" s="5" t="n">
        <v>0.551</v>
      </c>
      <c r="N9" s="5" t="n">
        <v>40.85</v>
      </c>
      <c r="O9" s="5" t="n">
        <v>0.330503791570663</v>
      </c>
      <c r="P9" s="5" t="n">
        <v>16.4838752746582</v>
      </c>
      <c r="Q9" s="5" t="n">
        <v>0.1208634560941234</v>
      </c>
      <c r="R9" s="5" t="n">
        <v>0.2389248382279741</v>
      </c>
      <c r="S9" s="5" t="n">
        <v>1</v>
      </c>
      <c r="T9" s="5" t="n">
        <v>0.1963591342719004</v>
      </c>
    </row>
    <row r="10">
      <c r="A10" s="4" t="n">
        <v>1988</v>
      </c>
      <c r="B10" s="2" t="inlineStr">
        <is>
          <t>KOR</t>
        </is>
      </c>
      <c r="C10" s="4" t="n">
        <v>545902.6875</v>
      </c>
      <c r="D10" s="4" t="n">
        <v>42.922977</v>
      </c>
      <c r="E10" s="4" t="n">
        <v>2.76195597648621</v>
      </c>
      <c r="F10" s="4" t="n">
        <v>92.9617045338793</v>
      </c>
      <c r="G10" s="4" t="n">
        <v>233.8822200959</v>
      </c>
      <c r="H10" s="4" t="n">
        <v>12718.19257783541</v>
      </c>
      <c r="I10" s="4" t="n">
        <v>0.1381354345997017</v>
      </c>
      <c r="J10" s="4" t="n">
        <v>0.2682709647879823</v>
      </c>
      <c r="K10" s="4" t="n">
        <v>0.9694500519062819</v>
      </c>
      <c r="L10" s="4" t="n">
        <v>0.9953738046542697</v>
      </c>
      <c r="M10" s="4" t="n">
        <v>0.629</v>
      </c>
      <c r="N10" s="4" t="n">
        <v>40.82</v>
      </c>
      <c r="O10" s="4" t="n">
        <v>0.358411014080048</v>
      </c>
      <c r="P10" s="4" t="n">
        <v>17.005199432373</v>
      </c>
      <c r="Q10" s="4" t="n">
        <v>0.2644728810804017</v>
      </c>
      <c r="R10" s="4" t="n">
        <v>0.27775012444002</v>
      </c>
      <c r="S10" s="4" t="n">
        <v>0.9963008631319358</v>
      </c>
      <c r="T10" s="4" t="n">
        <v>0.2357211993416289</v>
      </c>
    </row>
    <row r="11">
      <c r="A11" s="5" t="n">
        <v>1989</v>
      </c>
      <c r="B11" s="3" t="inlineStr">
        <is>
          <t>KOR</t>
        </is>
      </c>
      <c r="C11" s="5" t="n">
        <v>585016.625</v>
      </c>
      <c r="D11" s="5" t="n">
        <v>43.524767</v>
      </c>
      <c r="E11" s="5" t="n">
        <v>2.80396270751953</v>
      </c>
      <c r="F11" s="5" t="n">
        <v>92.7572827781247</v>
      </c>
      <c r="G11" s="5" t="n">
        <v>234.2342168837</v>
      </c>
      <c r="H11" s="5" t="n">
        <v>13441.00532462357</v>
      </c>
      <c r="I11" s="5" t="n">
        <v>0.1539972960955979</v>
      </c>
      <c r="J11" s="5" t="n">
        <v>0.2989908362934839</v>
      </c>
      <c r="K11" s="5" t="n">
        <v>0.9459838712587125</v>
      </c>
      <c r="L11" s="5" t="n">
        <v>0.9977271305361168</v>
      </c>
      <c r="M11" s="5" t="n">
        <v>0.547</v>
      </c>
      <c r="N11" s="5" t="n">
        <v>39.69</v>
      </c>
      <c r="O11" s="5" t="n">
        <v>0.388743042945862</v>
      </c>
      <c r="P11" s="5" t="n">
        <v>17.6594371795654</v>
      </c>
      <c r="Q11" s="5" t="n">
        <v>0.4205602603465348</v>
      </c>
      <c r="R11" s="5" t="n">
        <v>0.2369337979094077</v>
      </c>
      <c r="S11" s="5" t="n">
        <v>0.856966707768187</v>
      </c>
      <c r="T11" s="5" t="n">
        <v>0.2851187735667389</v>
      </c>
    </row>
    <row r="12">
      <c r="A12" s="4" t="n">
        <v>1990</v>
      </c>
      <c r="B12" s="2" t="inlineStr">
        <is>
          <t>KOR</t>
        </is>
      </c>
      <c r="C12" s="4" t="n">
        <v>643663.9375</v>
      </c>
      <c r="D12" s="4" t="n">
        <v>44.081427</v>
      </c>
      <c r="E12" s="4" t="n">
        <v>2.84660840034485</v>
      </c>
      <c r="F12" s="4" t="n">
        <v>93.2278353593989</v>
      </c>
      <c r="G12" s="4" t="n">
        <v>225.8862467767</v>
      </c>
      <c r="H12" s="4" t="n">
        <v>14601.70374021694</v>
      </c>
      <c r="I12" s="4" t="n">
        <v>0.1794683985193688</v>
      </c>
      <c r="J12" s="4" t="n">
        <v>0.3301779858676265</v>
      </c>
      <c r="K12" s="4" t="n">
        <v>1</v>
      </c>
      <c r="L12" s="4" t="n">
        <v>0.9419155584008253</v>
      </c>
      <c r="M12" s="4" t="n">
        <v>0.358</v>
      </c>
      <c r="N12" s="4" t="n">
        <v>39.06</v>
      </c>
      <c r="O12" s="4" t="n">
        <v>0.40949285030365</v>
      </c>
      <c r="P12" s="4" t="n">
        <v>18.1872406005859</v>
      </c>
      <c r="Q12" s="4" t="n">
        <v>0.5273379198655312</v>
      </c>
      <c r="R12" s="4" t="n">
        <v>0.1428571428571428</v>
      </c>
      <c r="S12" s="4" t="n">
        <v>0.779284833538841</v>
      </c>
      <c r="T12" s="4" t="n">
        <v>0.3249700490060015</v>
      </c>
    </row>
    <row r="13">
      <c r="A13" s="5" t="n">
        <v>1991</v>
      </c>
      <c r="B13" s="3" t="inlineStr">
        <is>
          <t>KOR</t>
        </is>
      </c>
      <c r="C13" s="5" t="n">
        <v>713662.25</v>
      </c>
      <c r="D13" s="5" t="n">
        <v>44.43915</v>
      </c>
      <c r="E13" s="5" t="n">
        <v>2.87941026687622</v>
      </c>
      <c r="F13" s="5" t="n">
        <v>92.5845269956676</v>
      </c>
      <c r="G13" s="5" t="n">
        <v>227.3342356152</v>
      </c>
      <c r="H13" s="5" t="n">
        <v>16059.31369074341</v>
      </c>
      <c r="I13" s="5" t="n">
        <v>0.2114551160378787</v>
      </c>
      <c r="J13" s="5" t="n">
        <v>0.3541662634649718</v>
      </c>
      <c r="K13" s="5" t="n">
        <v>0.9261527217605289</v>
      </c>
      <c r="L13" s="5" t="n">
        <v>0.9515962990449819</v>
      </c>
      <c r="M13" s="5" t="n">
        <v>0.427</v>
      </c>
      <c r="N13" s="5" t="n">
        <v>39.09</v>
      </c>
      <c r="O13" s="5" t="n">
        <v>0.448530226945877</v>
      </c>
      <c r="P13" s="5" t="n">
        <v>18.7272968292236</v>
      </c>
      <c r="Q13" s="5" t="n">
        <v>0.7282226625402167</v>
      </c>
      <c r="R13" s="5" t="n">
        <v>0.1772025883524141</v>
      </c>
      <c r="S13" s="5" t="n">
        <v>0.7829839704069053</v>
      </c>
      <c r="T13" s="5" t="n">
        <v>0.3657464605694549</v>
      </c>
    </row>
    <row r="14">
      <c r="A14" s="4" t="n">
        <v>1992</v>
      </c>
      <c r="B14" s="2" t="inlineStr">
        <is>
          <t>KOR</t>
        </is>
      </c>
      <c r="C14" s="4" t="n">
        <v>758991.1875</v>
      </c>
      <c r="D14" s="4" t="n">
        <v>44.653695</v>
      </c>
      <c r="E14" s="4" t="n">
        <v>2.91259026527405</v>
      </c>
      <c r="F14" s="4" t="n">
        <v>92.5105995123965</v>
      </c>
      <c r="G14" s="4" t="n">
        <v>227.3723405356</v>
      </c>
      <c r="H14" s="4" t="n">
        <v>16997.2762052502</v>
      </c>
      <c r="I14" s="4" t="n">
        <v>0.2320383605359309</v>
      </c>
      <c r="J14" s="4" t="n">
        <v>0.3784310720387595</v>
      </c>
      <c r="K14" s="4" t="n">
        <v>0.9176663663290525</v>
      </c>
      <c r="L14" s="4" t="n">
        <v>0.9518510550498974</v>
      </c>
      <c r="M14" s="4" t="n">
        <v>0.273</v>
      </c>
      <c r="N14" s="4" t="n">
        <v>37.89</v>
      </c>
      <c r="O14" s="4" t="n">
        <v>0.440316498279572</v>
      </c>
      <c r="P14" s="4" t="n">
        <v>19.0754985809326</v>
      </c>
      <c r="Q14" s="4" t="n">
        <v>0.6859551509537556</v>
      </c>
      <c r="R14" s="4" t="n">
        <v>0.1005475360876058</v>
      </c>
      <c r="S14" s="4" t="n">
        <v>0.6350184956843402</v>
      </c>
      <c r="T14" s="4" t="n">
        <v>0.3920370895482507</v>
      </c>
    </row>
    <row r="15">
      <c r="A15" s="5" t="n">
        <v>1993</v>
      </c>
      <c r="B15" s="3" t="inlineStr">
        <is>
          <t>KOR</t>
        </is>
      </c>
      <c r="C15" s="5" t="n">
        <v>812080.4375</v>
      </c>
      <c r="D15" s="5" t="n">
        <v>44.887724</v>
      </c>
      <c r="E15" s="5" t="n">
        <v>2.94615244865418</v>
      </c>
      <c r="F15" s="5" t="n">
        <v>92.80506109613</v>
      </c>
      <c r="G15" s="5" t="n">
        <v>224.3599883536</v>
      </c>
      <c r="H15" s="5" t="n">
        <v>18091.37031541185</v>
      </c>
      <c r="I15" s="5" t="n">
        <v>0.2560478558249593</v>
      </c>
      <c r="J15" s="5" t="n">
        <v>0.4029753756662868</v>
      </c>
      <c r="K15" s="5" t="n">
        <v>0.951468486324319</v>
      </c>
      <c r="L15" s="5" t="n">
        <v>0.9317115350291418</v>
      </c>
      <c r="M15" s="5" t="n">
        <v>0.205</v>
      </c>
      <c r="N15" s="5" t="n">
        <v>36.85</v>
      </c>
      <c r="O15" s="5" t="n">
        <v>0.442677736282349</v>
      </c>
      <c r="P15" s="5" t="n">
        <v>19.3090763092041</v>
      </c>
      <c r="Q15" s="5" t="n">
        <v>0.6981059850871246</v>
      </c>
      <c r="R15" s="5" t="n">
        <v>0.06669985067197612</v>
      </c>
      <c r="S15" s="5" t="n">
        <v>0.5067817509247842</v>
      </c>
      <c r="T15" s="5" t="n">
        <v>0.4096731449717402</v>
      </c>
    </row>
    <row r="16">
      <c r="A16" s="4" t="n">
        <v>1994</v>
      </c>
      <c r="B16" s="2" t="inlineStr">
        <is>
          <t>KOR</t>
        </is>
      </c>
      <c r="C16" s="4" t="n">
        <v>888187.25</v>
      </c>
      <c r="D16" s="4" t="n">
        <v>45.13084</v>
      </c>
      <c r="E16" s="4" t="n">
        <v>2.9801013469696</v>
      </c>
      <c r="F16" s="4" t="n">
        <v>92.8144902876984</v>
      </c>
      <c r="G16" s="4" t="n">
        <v>232.5601587176</v>
      </c>
      <c r="H16" s="4" t="n">
        <v>19680.2729574721</v>
      </c>
      <c r="I16" s="4" t="n">
        <v>0.2909157434636507</v>
      </c>
      <c r="J16" s="4" t="n">
        <v>0.4278024871398219</v>
      </c>
      <c r="K16" s="4" t="n">
        <v>0.9525508912370831</v>
      </c>
      <c r="L16" s="4" t="n">
        <v>0.9865349704183394</v>
      </c>
      <c r="M16" s="4" t="n">
        <v>0.237</v>
      </c>
      <c r="N16" s="4" t="n">
        <v>35.53</v>
      </c>
      <c r="O16" s="4" t="n">
        <v>0.468855977058411</v>
      </c>
      <c r="P16" s="4" t="n">
        <v>19.9261779785156</v>
      </c>
      <c r="Q16" s="4" t="n">
        <v>0.8328181408288267</v>
      </c>
      <c r="R16" s="4" t="n">
        <v>0.08262817322050771</v>
      </c>
      <c r="S16" s="4" t="n">
        <v>0.3440197287299629</v>
      </c>
      <c r="T16" s="4" t="n">
        <v>0.4562667963546975</v>
      </c>
    </row>
    <row r="17">
      <c r="A17" s="5" t="n">
        <v>1995</v>
      </c>
      <c r="B17" s="3" t="inlineStr">
        <is>
          <t>KOR</t>
        </is>
      </c>
      <c r="C17" s="5" t="n">
        <v>974660.25</v>
      </c>
      <c r="D17" s="5" t="n">
        <v>45.368425</v>
      </c>
      <c r="E17" s="5" t="n">
        <v>3.01444125175476</v>
      </c>
      <c r="F17" s="5" t="n">
        <v>91.5105678240033</v>
      </c>
      <c r="G17" s="5" t="n">
        <v>234.5741794688</v>
      </c>
      <c r="H17" s="5" t="n">
        <v>21483.22869925504</v>
      </c>
      <c r="I17" s="5" t="n">
        <v>0.3304809481262262</v>
      </c>
      <c r="J17" s="5" t="n">
        <v>0.4529155448941733</v>
      </c>
      <c r="K17" s="5" t="n">
        <v>0.8028697578834226</v>
      </c>
      <c r="L17" s="5" t="n">
        <v>1</v>
      </c>
      <c r="M17" s="5" t="n">
        <v>0.424</v>
      </c>
      <c r="N17" s="5" t="n">
        <v>35.59</v>
      </c>
      <c r="O17" s="5" t="n">
        <v>0.47804856300354</v>
      </c>
      <c r="P17" s="5" t="n">
        <v>20.4982490539551</v>
      </c>
      <c r="Q17" s="5" t="n">
        <v>0.8801228119143482</v>
      </c>
      <c r="R17" s="5" t="n">
        <v>0.1757093081134893</v>
      </c>
      <c r="S17" s="5" t="n">
        <v>0.3514180024660915</v>
      </c>
      <c r="T17" s="5" t="n">
        <v>0.4994604572712857</v>
      </c>
    </row>
    <row r="18">
      <c r="A18" s="4" t="n">
        <v>1996</v>
      </c>
      <c r="B18" s="2" t="inlineStr">
        <is>
          <t>KOR</t>
        </is>
      </c>
      <c r="C18" s="4" t="n">
        <v>1052539.875</v>
      </c>
      <c r="D18" s="4" t="n">
        <v>45.6387</v>
      </c>
      <c r="E18" s="4" t="n">
        <v>3.0491771697998</v>
      </c>
      <c r="F18" s="4" t="n">
        <v>88.6280952347867</v>
      </c>
      <c r="G18" s="4" t="n">
        <v>213.2809874507</v>
      </c>
      <c r="H18" s="4" t="n">
        <v>23062.44207218874</v>
      </c>
      <c r="I18" s="4" t="n">
        <v>0.3651362082959573</v>
      </c>
      <c r="J18" s="4" t="n">
        <v>0.47831821043658</v>
      </c>
      <c r="K18" s="4" t="n">
        <v>0.4719821659999772</v>
      </c>
      <c r="L18" s="4" t="n">
        <v>0.857641258045199</v>
      </c>
      <c r="M18" s="4" t="n">
        <v>0.441</v>
      </c>
      <c r="N18" s="4" t="n">
        <v>34.61</v>
      </c>
      <c r="O18" s="4" t="n">
        <v>0.501343965530396</v>
      </c>
      <c r="P18" s="4" t="n">
        <v>20.948751449585</v>
      </c>
      <c r="Q18" s="4" t="n">
        <v>1</v>
      </c>
      <c r="R18" s="4" t="n">
        <v>0.1841712294673967</v>
      </c>
      <c r="S18" s="4" t="n">
        <v>0.2305795314426631</v>
      </c>
      <c r="T18" s="4" t="n">
        <v>0.5334751952197114</v>
      </c>
    </row>
    <row r="19">
      <c r="A19" s="5" t="n">
        <v>1997</v>
      </c>
      <c r="B19" s="3" t="inlineStr">
        <is>
          <t>KOR</t>
        </is>
      </c>
      <c r="C19" s="5" t="n">
        <v>1118662.375</v>
      </c>
      <c r="D19" s="5" t="n">
        <v>45.941537</v>
      </c>
      <c r="E19" s="5" t="n">
        <v>3.08431339263916</v>
      </c>
      <c r="F19" s="5" t="n">
        <v>86.89315921242699</v>
      </c>
      <c r="G19" s="5" t="n">
        <v>206.5245685251</v>
      </c>
      <c r="H19" s="5" t="n">
        <v>24349.69415585726</v>
      </c>
      <c r="I19" s="5" t="n">
        <v>0.3933844847025135</v>
      </c>
      <c r="J19" s="5" t="n">
        <v>0.5040136222018434</v>
      </c>
      <c r="K19" s="5" t="n">
        <v>0.2728237057745268</v>
      </c>
      <c r="L19" s="5" t="n">
        <v>0.8124702335435446</v>
      </c>
      <c r="M19" s="5" t="n">
        <v>0.5600000000000001</v>
      </c>
      <c r="N19" s="5" t="n">
        <v>34.25</v>
      </c>
      <c r="O19" s="5" t="n">
        <v>0.428935945034027</v>
      </c>
      <c r="P19" s="5" t="n">
        <v>21.322509765625</v>
      </c>
      <c r="Q19" s="5" t="n">
        <v>0.6273912896784597</v>
      </c>
      <c r="R19" s="5" t="n">
        <v>0.2434046789447487</v>
      </c>
      <c r="S19" s="5" t="n">
        <v>0.1861898890258937</v>
      </c>
      <c r="T19" s="5" t="n">
        <v>0.5616954473193024</v>
      </c>
    </row>
    <row r="20">
      <c r="A20" s="4" t="n">
        <v>1998</v>
      </c>
      <c r="B20" s="2" t="inlineStr">
        <is>
          <t>KOR</t>
        </is>
      </c>
      <c r="C20" s="4" t="n">
        <v>1063412.5</v>
      </c>
      <c r="D20" s="4" t="n">
        <v>46.230878</v>
      </c>
      <c r="E20" s="4" t="n">
        <v>3.11985421180725</v>
      </c>
      <c r="F20" s="4" t="n">
        <v>86.381311790697</v>
      </c>
      <c r="G20" s="4" t="n">
        <v>198.6241135771</v>
      </c>
      <c r="H20" s="4" t="n">
        <v>23002.21293655725</v>
      </c>
      <c r="I20" s="4" t="n">
        <v>0.3638145019319656</v>
      </c>
      <c r="J20" s="4" t="n">
        <v>0.530004918624742</v>
      </c>
      <c r="K20" s="4" t="n">
        <v>0.2140672196169192</v>
      </c>
      <c r="L20" s="4" t="n">
        <v>0.7596505892970724</v>
      </c>
      <c r="M20" s="4" t="n">
        <v>1.507</v>
      </c>
      <c r="N20" s="4" t="n">
        <v>34.34</v>
      </c>
      <c r="O20" s="4" t="n">
        <v>0.307016730308533</v>
      </c>
      <c r="P20" s="4" t="n">
        <v>20.0505714416504</v>
      </c>
      <c r="Q20" s="4" t="n">
        <v>0</v>
      </c>
      <c r="R20" s="4" t="n">
        <v>0.7147834743653559</v>
      </c>
      <c r="S20" s="4" t="n">
        <v>0.1972872996300865</v>
      </c>
      <c r="T20" s="4" t="n">
        <v>0.4656590017948289</v>
      </c>
    </row>
    <row r="21">
      <c r="A21" s="5" t="n">
        <v>1999</v>
      </c>
      <c r="B21" s="3" t="inlineStr">
        <is>
          <t>KOR</t>
        </is>
      </c>
      <c r="C21" s="5" t="n">
        <v>1186951.875</v>
      </c>
      <c r="D21" s="5" t="n">
        <v>46.500383</v>
      </c>
      <c r="E21" s="5" t="n">
        <v>3.15580463409424</v>
      </c>
      <c r="F21" s="5" t="n">
        <v>89.60023481738951</v>
      </c>
      <c r="G21" s="5" t="n">
        <v>194.7295230717</v>
      </c>
      <c r="H21" s="5" t="n">
        <v>25525.63653077868</v>
      </c>
      <c r="I21" s="5" t="n">
        <v>0.4191901102411367</v>
      </c>
      <c r="J21" s="5" t="n">
        <v>0.5562957612125369</v>
      </c>
      <c r="K21" s="5" t="n">
        <v>0.583576956758922</v>
      </c>
      <c r="L21" s="5" t="n">
        <v>0.7336127362449527</v>
      </c>
      <c r="M21" s="5" t="n">
        <v>2.08</v>
      </c>
      <c r="N21" s="5" t="n">
        <v>34.5</v>
      </c>
      <c r="O21" s="5" t="n">
        <v>0.309358358383179</v>
      </c>
      <c r="P21" s="5" t="n">
        <v>20.4050960540772</v>
      </c>
      <c r="Q21" s="5" t="n">
        <v>0.01204992224570357</v>
      </c>
      <c r="R21" s="5" t="n">
        <v>1</v>
      </c>
      <c r="S21" s="5" t="n">
        <v>0.2170160295930947</v>
      </c>
      <c r="T21" s="5" t="n">
        <v>0.4924270321204027</v>
      </c>
    </row>
    <row r="22">
      <c r="A22" s="4" t="n">
        <v>2000</v>
      </c>
      <c r="B22" s="2" t="inlineStr">
        <is>
          <t>KOR</t>
        </is>
      </c>
      <c r="C22" s="4" t="n">
        <v>1296173.625</v>
      </c>
      <c r="D22" s="4" t="n">
        <v>46.766661</v>
      </c>
      <c r="E22" s="4" t="n">
        <v>3.1921694278717</v>
      </c>
      <c r="F22" s="4" t="n">
        <v>89.93858030856769</v>
      </c>
      <c r="G22" s="4" t="n">
        <v>169.4146851249</v>
      </c>
      <c r="H22" s="4" t="n">
        <v>27715.76155501031</v>
      </c>
      <c r="I22" s="4" t="n">
        <v>0.4672516032729413</v>
      </c>
      <c r="J22" s="4" t="n">
        <v>0.5828896371149853</v>
      </c>
      <c r="K22" s="4" t="n">
        <v>0.6224166408618674</v>
      </c>
      <c r="L22" s="4" t="n">
        <v>0.5643666936679284</v>
      </c>
      <c r="M22" s="4" t="n">
        <v>1.926</v>
      </c>
      <c r="N22" s="4" t="n">
        <v>34.32</v>
      </c>
      <c r="O22" s="4" t="n">
        <v>0.332385927438736</v>
      </c>
      <c r="P22" s="4" t="n">
        <v>21.2578907012939</v>
      </c>
      <c r="Q22" s="4" t="n">
        <v>0.1305488502485978</v>
      </c>
      <c r="R22" s="4" t="n">
        <v>0.9233449477351917</v>
      </c>
      <c r="S22" s="4" t="n">
        <v>0.19482120838471</v>
      </c>
      <c r="T22" s="4" t="n">
        <v>0.5568164487589916</v>
      </c>
    </row>
    <row r="23">
      <c r="A23" s="5" t="n">
        <v>2001</v>
      </c>
      <c r="B23" s="3" t="inlineStr">
        <is>
          <t>KOR</t>
        </is>
      </c>
      <c r="C23" s="5" t="n">
        <v>1357429.75</v>
      </c>
      <c r="D23" s="5" t="n">
        <v>47.043468</v>
      </c>
      <c r="E23" s="5" t="n">
        <v>3.21872901916504</v>
      </c>
      <c r="F23" s="5" t="n">
        <v>90.0903632193028</v>
      </c>
      <c r="G23" s="5" t="n">
        <v>157.4002017597</v>
      </c>
      <c r="H23" s="5" t="n">
        <v>28854.79765224792</v>
      </c>
      <c r="I23" s="5" t="n">
        <v>0.4922473340393003</v>
      </c>
      <c r="J23" s="5" t="n">
        <v>0.6023128869537518</v>
      </c>
      <c r="K23" s="5" t="n">
        <v>0.6398402521080195</v>
      </c>
      <c r="L23" s="5" t="n">
        <v>0.484042112193583</v>
      </c>
      <c r="M23" s="5" t="n">
        <v>1.149</v>
      </c>
      <c r="N23" s="5" t="n">
        <v>33.36</v>
      </c>
      <c r="O23" s="5" t="n">
        <v>0.331279098987579</v>
      </c>
      <c r="P23" s="5" t="n">
        <v>21.6788730621338</v>
      </c>
      <c r="Q23" s="5" t="n">
        <v>0.1248531563336746</v>
      </c>
      <c r="R23" s="5" t="n">
        <v>0.5365853658536586</v>
      </c>
      <c r="S23" s="5" t="n">
        <v>0.07644882860665814</v>
      </c>
      <c r="T23" s="5" t="n">
        <v>0.5886023056684913</v>
      </c>
    </row>
    <row r="24">
      <c r="A24" s="4" t="n">
        <v>2002</v>
      </c>
      <c r="B24" s="2" t="inlineStr">
        <is>
          <t>KOR</t>
        </is>
      </c>
      <c r="C24" s="4" t="n">
        <v>1462549.125</v>
      </c>
      <c r="D24" s="4" t="n">
        <v>47.29912</v>
      </c>
      <c r="E24" s="4" t="n">
        <v>3.2455096244812</v>
      </c>
      <c r="F24" s="4" t="n">
        <v>91.63737759107779</v>
      </c>
      <c r="G24" s="4" t="n">
        <v>155.9839237757</v>
      </c>
      <c r="H24" s="4" t="n">
        <v>30921.27559667072</v>
      </c>
      <c r="I24" s="4" t="n">
        <v>0.5375954371052878</v>
      </c>
      <c r="J24" s="4" t="n">
        <v>0.6218977661841641</v>
      </c>
      <c r="K24" s="4" t="n">
        <v>0.8174266277775376</v>
      </c>
      <c r="L24" s="4" t="n">
        <v>0.4745733790938608</v>
      </c>
      <c r="M24" s="4" t="n">
        <v>0.842</v>
      </c>
      <c r="N24" s="4" t="n">
        <v>32.74</v>
      </c>
      <c r="O24" s="4" t="n">
        <v>0.334913194179535</v>
      </c>
      <c r="P24" s="4" t="n">
        <v>22.2760200500488</v>
      </c>
      <c r="Q24" s="4" t="n">
        <v>0.1435540614734353</v>
      </c>
      <c r="R24" s="4" t="n">
        <v>0.3837730214036835</v>
      </c>
      <c r="S24" s="4" t="n">
        <v>0</v>
      </c>
      <c r="T24" s="4" t="n">
        <v>0.6336892985627691</v>
      </c>
    </row>
    <row r="25">
      <c r="A25" s="5" t="n">
        <v>2003</v>
      </c>
      <c r="B25" s="3" t="inlineStr">
        <is>
          <t>KOR</t>
        </is>
      </c>
      <c r="C25" s="5" t="n">
        <v>1507518.625</v>
      </c>
      <c r="D25" s="5" t="n">
        <v>47.51416</v>
      </c>
      <c r="E25" s="5" t="n">
        <v>3.27251291275024</v>
      </c>
      <c r="F25" s="5" t="n">
        <v>91.7326941883459</v>
      </c>
      <c r="G25" s="5" t="n">
        <v>149.9651664941</v>
      </c>
      <c r="H25" s="5" t="n">
        <v>31727.77599351435</v>
      </c>
      <c r="I25" s="5" t="n">
        <v>0.5552937934886849</v>
      </c>
      <c r="J25" s="5" t="n">
        <v>0.6416454953086453</v>
      </c>
      <c r="K25" s="5" t="n">
        <v>0.8283683031483832</v>
      </c>
      <c r="L25" s="5" t="n">
        <v>0.4343340991394255</v>
      </c>
      <c r="M25" s="5" t="n">
        <v>0.962</v>
      </c>
      <c r="N25" s="5" t="n">
        <v>32.78</v>
      </c>
      <c r="O25" s="5" t="n">
        <v>0.356116086244583</v>
      </c>
      <c r="P25" s="5" t="n">
        <v>22.2679061889648</v>
      </c>
      <c r="Q25" s="5" t="n">
        <v>0.2526632763544102</v>
      </c>
      <c r="R25" s="5" t="n">
        <v>0.443504230960677</v>
      </c>
      <c r="S25" s="5" t="n">
        <v>0.004932182490752053</v>
      </c>
      <c r="T25" s="5" t="n">
        <v>0.6330766695041905</v>
      </c>
    </row>
    <row r="26">
      <c r="A26" s="4" t="n">
        <v>2004</v>
      </c>
      <c r="B26" s="2" t="inlineStr">
        <is>
          <t>KOR</t>
        </is>
      </c>
      <c r="C26" s="4" t="n">
        <v>1585662.875</v>
      </c>
      <c r="D26" s="4" t="n">
        <v>47.697075</v>
      </c>
      <c r="E26" s="4" t="n">
        <v>3.29974102973938</v>
      </c>
      <c r="F26" s="4" t="n">
        <v>91.05610428928649</v>
      </c>
      <c r="G26" s="4" t="n">
        <v>144.5282101087</v>
      </c>
      <c r="H26" s="4" t="n">
        <v>33244.44685549376</v>
      </c>
      <c r="I26" s="4" t="n">
        <v>0.588576581118646</v>
      </c>
      <c r="J26" s="4" t="n">
        <v>0.6615576435445951</v>
      </c>
      <c r="K26" s="4" t="n">
        <v>0.7507005385944536</v>
      </c>
      <c r="L26" s="4" t="n">
        <v>0.3979845339624083</v>
      </c>
      <c r="M26" s="4" t="n">
        <v>1.615</v>
      </c>
      <c r="N26" s="4" t="n">
        <v>34.19</v>
      </c>
      <c r="O26" s="4" t="n">
        <v>0.368964046239853</v>
      </c>
      <c r="P26" s="4" t="n">
        <v>22.6818008422852</v>
      </c>
      <c r="Q26" s="4" t="n">
        <v>0.3187783527131177</v>
      </c>
      <c r="R26" s="4" t="n">
        <v>0.7685415629666501</v>
      </c>
      <c r="S26" s="4" t="n">
        <v>0.1787916152897652</v>
      </c>
      <c r="T26" s="4" t="n">
        <v>0.6643273760653909</v>
      </c>
    </row>
    <row r="27">
      <c r="A27" s="5" t="n">
        <v>2005</v>
      </c>
      <c r="B27" s="3" t="inlineStr">
        <is>
          <t>KOR</t>
        </is>
      </c>
      <c r="C27" s="5" t="n">
        <v>1654769.875</v>
      </c>
      <c r="D27" s="5" t="n">
        <v>47.851644</v>
      </c>
      <c r="E27" s="5" t="n">
        <v>3.32719564437866</v>
      </c>
      <c r="F27" s="5" t="n">
        <v>90.8174438407015</v>
      </c>
      <c r="G27" s="5" t="n">
        <v>131.2</v>
      </c>
      <c r="H27" s="5" t="n">
        <v>34581.25440789454</v>
      </c>
      <c r="I27" s="5" t="n">
        <v>0.6179123341709698</v>
      </c>
      <c r="J27" s="5" t="n">
        <v>0.6816354313944222</v>
      </c>
      <c r="K27" s="5" t="n">
        <v>0.723303996679176</v>
      </c>
      <c r="L27" s="5" t="n">
        <v>0.3088768406691273</v>
      </c>
      <c r="M27" s="5" t="n">
        <v>1.404</v>
      </c>
      <c r="N27" s="5" t="n">
        <v>34.02</v>
      </c>
      <c r="O27" s="5" t="n">
        <v>0.377442181110382</v>
      </c>
      <c r="P27" s="5" t="n">
        <v>22.8313007354736</v>
      </c>
      <c r="Q27" s="5" t="n">
        <v>0.3624064878062226</v>
      </c>
      <c r="R27" s="5" t="n">
        <v>0.6635141861622698</v>
      </c>
      <c r="S27" s="5" t="n">
        <v>0.1578298397040692</v>
      </c>
      <c r="T27" s="5" t="n">
        <v>0.6756152176827721</v>
      </c>
    </row>
    <row r="28">
      <c r="A28" s="4" t="n">
        <v>2006</v>
      </c>
      <c r="B28" s="2" t="inlineStr">
        <is>
          <t>KOR</t>
        </is>
      </c>
      <c r="C28" s="4" t="n">
        <v>1741562.625</v>
      </c>
      <c r="D28" s="4" t="n">
        <v>48.006518</v>
      </c>
      <c r="E28" s="4" t="n">
        <v>3.35487866401672</v>
      </c>
      <c r="F28" s="4" t="n">
        <v>89.18241518207709</v>
      </c>
      <c r="G28" s="4" t="n">
        <v>119.3</v>
      </c>
      <c r="H28" s="4" t="n">
        <v>36277.62848786492</v>
      </c>
      <c r="I28" s="4" t="n">
        <v>0.6551386432271999</v>
      </c>
      <c r="J28" s="4" t="n">
        <v>0.7018802537180382</v>
      </c>
      <c r="K28" s="4" t="n">
        <v>0.5356141995457763</v>
      </c>
      <c r="L28" s="4" t="n">
        <v>0.2293176544361703</v>
      </c>
      <c r="M28" s="4" t="n">
        <v>0.837</v>
      </c>
      <c r="N28" s="4" t="n">
        <v>34.33</v>
      </c>
      <c r="O28" s="4" t="n">
        <v>0.379900246858597</v>
      </c>
      <c r="P28" s="4" t="n">
        <v>23.1881008148193</v>
      </c>
      <c r="Q28" s="4" t="n">
        <v>0.3750555935551344</v>
      </c>
      <c r="R28" s="4" t="n">
        <v>0.3812842210054754</v>
      </c>
      <c r="S28" s="4" t="n">
        <v>0.1960542540073978</v>
      </c>
      <c r="T28" s="4" t="n">
        <v>0.7025550548881926</v>
      </c>
    </row>
    <row r="29">
      <c r="A29" s="5" t="n">
        <v>2007</v>
      </c>
      <c r="B29" s="3" t="inlineStr">
        <is>
          <t>KOR</t>
        </is>
      </c>
      <c r="C29" s="5" t="n">
        <v>1843304</v>
      </c>
      <c r="D29" s="5" t="n">
        <v>48.178118</v>
      </c>
      <c r="E29" s="5" t="n">
        <v>3.3827919960022</v>
      </c>
      <c r="F29" s="5" t="n">
        <v>88.98925712805099</v>
      </c>
      <c r="G29" s="5" t="n">
        <v>111.7</v>
      </c>
      <c r="H29" s="5" t="n">
        <v>38260.19106848466</v>
      </c>
      <c r="I29" s="5" t="n">
        <v>0.6986452543107391</v>
      </c>
      <c r="J29" s="5" t="n">
        <v>0.7222935053753543</v>
      </c>
      <c r="K29" s="5" t="n">
        <v>0.5134410126822859</v>
      </c>
      <c r="L29" s="5" t="n">
        <v>0.1785067455815087</v>
      </c>
      <c r="M29" s="5" t="n">
        <v>0.723</v>
      </c>
      <c r="N29" s="5" t="n">
        <v>34.8</v>
      </c>
      <c r="O29" s="5" t="n">
        <v>0.379969984292984</v>
      </c>
      <c r="P29" s="5" t="n">
        <v>23.560998916626</v>
      </c>
      <c r="Q29" s="5" t="n">
        <v>0.3754144595386254</v>
      </c>
      <c r="R29" s="5" t="n">
        <v>0.3245395719263315</v>
      </c>
      <c r="S29" s="5" t="n">
        <v>0.2540073982737355</v>
      </c>
      <c r="T29" s="5" t="n">
        <v>0.730710357362634</v>
      </c>
    </row>
    <row r="30">
      <c r="A30" s="4" t="n">
        <v>2008</v>
      </c>
      <c r="B30" s="2" t="inlineStr">
        <is>
          <t>KOR</t>
        </is>
      </c>
      <c r="C30" s="4" t="n">
        <v>1898684.25</v>
      </c>
      <c r="D30" s="4" t="n">
        <v>48.356493</v>
      </c>
      <c r="E30" s="4" t="n">
        <v>3.41093754768372</v>
      </c>
      <c r="F30" s="4" t="n">
        <v>86.5518555352658</v>
      </c>
      <c r="G30" s="4" t="n">
        <v>99.59999999999999</v>
      </c>
      <c r="H30" s="4" t="n">
        <v>39264.30831119204</v>
      </c>
      <c r="I30" s="4" t="n">
        <v>0.7206802401355445</v>
      </c>
      <c r="J30" s="4" t="n">
        <v>0.7428765812262678</v>
      </c>
      <c r="K30" s="4" t="n">
        <v>0.2336444427142925</v>
      </c>
      <c r="L30" s="4" t="n">
        <v>0.09761043016816576</v>
      </c>
      <c r="M30" s="4" t="n">
        <v>1.025</v>
      </c>
      <c r="N30" s="4" t="n">
        <v>35.85</v>
      </c>
      <c r="O30" s="4" t="n">
        <v>0.390579283237457</v>
      </c>
      <c r="P30" s="4" t="n">
        <v>23.7746028900147</v>
      </c>
      <c r="Q30" s="4" t="n">
        <v>0.4300094777426377</v>
      </c>
      <c r="R30" s="4" t="n">
        <v>0.4748631159780985</v>
      </c>
      <c r="S30" s="4" t="n">
        <v>0.3834771886559802</v>
      </c>
      <c r="T30" s="4" t="n">
        <v>0.7468383141727196</v>
      </c>
    </row>
    <row r="31">
      <c r="A31" s="5" t="n">
        <v>2009</v>
      </c>
      <c r="B31" s="3" t="inlineStr">
        <is>
          <t>KOR</t>
        </is>
      </c>
      <c r="C31" s="5" t="n">
        <v>1914250.875</v>
      </c>
      <c r="D31" s="5" t="n">
        <v>48.546687</v>
      </c>
      <c r="E31" s="5" t="n">
        <v>3.43931722640991</v>
      </c>
      <c r="F31" s="5" t="n">
        <v>88.7881930033288</v>
      </c>
      <c r="G31" s="5" t="n">
        <v>103.9</v>
      </c>
      <c r="H31" s="5" t="n">
        <v>39431.1330657847</v>
      </c>
      <c r="I31" s="5" t="n">
        <v>0.7243411483904056</v>
      </c>
      <c r="J31" s="5" t="n">
        <v>0.7636308761306831</v>
      </c>
      <c r="K31" s="5" t="n">
        <v>0.4903602644759132</v>
      </c>
      <c r="L31" s="5" t="n">
        <v>0.1263587075464612</v>
      </c>
      <c r="M31" s="5" t="n">
        <v>0.918</v>
      </c>
      <c r="N31" s="5" t="n">
        <v>35.54</v>
      </c>
      <c r="O31" s="5" t="n">
        <v>0.341130524873734</v>
      </c>
      <c r="P31" s="5" t="n">
        <v>23.6875019073486</v>
      </c>
      <c r="Q31" s="5" t="n">
        <v>0.175548190794015</v>
      </c>
      <c r="R31" s="5" t="n">
        <v>0.4216027874564461</v>
      </c>
      <c r="S31" s="5" t="n">
        <v>0.3452527743526507</v>
      </c>
      <c r="T31" s="5" t="n">
        <v>0.7402618405974898</v>
      </c>
    </row>
    <row r="32">
      <c r="A32" s="4" t="n">
        <v>2010</v>
      </c>
      <c r="B32" s="2" t="inlineStr">
        <is>
          <t>KOR</t>
        </is>
      </c>
      <c r="C32" s="4" t="n">
        <v>2047897.5</v>
      </c>
      <c r="D32" s="4" t="n">
        <v>48.769332</v>
      </c>
      <c r="E32" s="4" t="n">
        <v>3.467933177948</v>
      </c>
      <c r="F32" s="4" t="n">
        <v>88.2923386778366</v>
      </c>
      <c r="G32" s="4" t="n">
        <v>96.3</v>
      </c>
      <c r="H32" s="4" t="n">
        <v>41991.501954548</v>
      </c>
      <c r="I32" s="4" t="n">
        <v>0.7805275076825281</v>
      </c>
      <c r="J32" s="4" t="n">
        <v>0.7845579593060079</v>
      </c>
      <c r="K32" s="4" t="n">
        <v>0.4334396733483853</v>
      </c>
      <c r="L32" s="4" t="n">
        <v>0.07554779869179953</v>
      </c>
      <c r="M32" s="4" t="n">
        <v>0.796</v>
      </c>
      <c r="N32" s="4" t="n">
        <v>37.07</v>
      </c>
      <c r="O32" s="4" t="n">
        <v>0.355040580034256</v>
      </c>
      <c r="P32" s="4" t="n">
        <v>24.032901763916</v>
      </c>
      <c r="Q32" s="4" t="n">
        <v>0.2471287654089982</v>
      </c>
      <c r="R32" s="4" t="n">
        <v>0.3608760577401693</v>
      </c>
      <c r="S32" s="4" t="n">
        <v>0.533908754623921</v>
      </c>
      <c r="T32" s="4" t="n">
        <v>0.7663409152539891</v>
      </c>
    </row>
    <row r="33">
      <c r="A33" s="5" t="n">
        <v>2011</v>
      </c>
      <c r="B33" s="3" t="inlineStr">
        <is>
          <t>KOR</t>
        </is>
      </c>
      <c r="C33" s="5" t="n">
        <v>2123424.5</v>
      </c>
      <c r="D33" s="5" t="n">
        <v>49.127643</v>
      </c>
      <c r="E33" s="5" t="n">
        <v>3.49225950241089</v>
      </c>
      <c r="F33" s="5" t="n">
        <v>85.30059421487429</v>
      </c>
      <c r="G33" s="5" t="n">
        <v>86.5</v>
      </c>
      <c r="H33" s="5" t="n">
        <v>43222.60076674145</v>
      </c>
      <c r="I33" s="5" t="n">
        <v>0.8075435210740269</v>
      </c>
      <c r="J33" s="5" t="n">
        <v>0.8023480025518955</v>
      </c>
      <c r="K33" s="5" t="n">
        <v>0.09000843844832666</v>
      </c>
      <c r="L33" s="5" t="n">
        <v>0.01002846885289375</v>
      </c>
      <c r="M33" s="5" t="n">
        <v>0.748</v>
      </c>
      <c r="N33" s="5" t="n">
        <v>38.3</v>
      </c>
      <c r="O33" s="5" t="n">
        <v>0.351197630167007</v>
      </c>
      <c r="P33" s="5" t="n">
        <v>24.5265998840332</v>
      </c>
      <c r="Q33" s="5" t="n">
        <v>0.227353102657138</v>
      </c>
      <c r="R33" s="5" t="n">
        <v>0.3369835739173719</v>
      </c>
      <c r="S33" s="5" t="n">
        <v>0.6855733662145493</v>
      </c>
      <c r="T33" s="5" t="n">
        <v>0.8036171036701163</v>
      </c>
    </row>
    <row r="34">
      <c r="A34" s="4" t="n">
        <v>2012</v>
      </c>
      <c r="B34" s="2" t="inlineStr">
        <is>
          <t>KOR</t>
        </is>
      </c>
      <c r="C34" s="4" t="n">
        <v>2177522.25</v>
      </c>
      <c r="D34" s="4" t="n">
        <v>49.599579</v>
      </c>
      <c r="E34" s="4" t="n">
        <v>3.51675653457642</v>
      </c>
      <c r="F34" s="4" t="n">
        <v>84.5165005740439</v>
      </c>
      <c r="G34" s="4" t="n">
        <v>85</v>
      </c>
      <c r="H34" s="4" t="n">
        <v>43902.03090231875</v>
      </c>
      <c r="I34" s="4" t="n">
        <v>0.8224533670259048</v>
      </c>
      <c r="J34" s="4" t="n">
        <v>0.8202628857594058</v>
      </c>
      <c r="K34" s="4" t="n">
        <v>0</v>
      </c>
      <c r="L34" s="4" t="n">
        <v>0</v>
      </c>
      <c r="M34" s="4" t="n">
        <v>0.711</v>
      </c>
      <c r="N34" s="4" t="n">
        <v>37.58</v>
      </c>
      <c r="O34" s="4" t="n">
        <v>0.340111196041107</v>
      </c>
      <c r="P34" s="4" t="n">
        <v>24.9549980163574</v>
      </c>
      <c r="Q34" s="4" t="n">
        <v>0.1703027663353011</v>
      </c>
      <c r="R34" s="4" t="n">
        <v>0.3185664509706322</v>
      </c>
      <c r="S34" s="4" t="n">
        <v>0.5967940813810106</v>
      </c>
      <c r="T34" s="4" t="n">
        <v>0.8359628810732045</v>
      </c>
    </row>
    <row r="35">
      <c r="A35" s="5" t="n">
        <v>2013</v>
      </c>
      <c r="B35" s="3" t="inlineStr">
        <is>
          <t>KOR</t>
        </is>
      </c>
      <c r="C35" s="5" t="n">
        <v>2249193.25</v>
      </c>
      <c r="D35" s="5" t="n">
        <v>50.071164</v>
      </c>
      <c r="E35" s="5" t="n">
        <v>3.54142546653748</v>
      </c>
      <c r="F35" s="5" t="n">
        <v>85.9871669666779</v>
      </c>
      <c r="G35" s="5" t="n">
        <v>87.8</v>
      </c>
      <c r="H35" s="5" t="n">
        <v>44919.9313600938</v>
      </c>
      <c r="I35" s="5" t="n">
        <v>0.8447908204667601</v>
      </c>
      <c r="J35" s="5" t="n">
        <v>0.8383034807159763</v>
      </c>
      <c r="K35" s="5" t="n">
        <v>0.1688221643262297</v>
      </c>
      <c r="L35" s="5" t="n">
        <v>0.01871980852540164</v>
      </c>
      <c r="M35" s="5" t="n">
        <v>0.89</v>
      </c>
      <c r="N35" s="5" t="n">
        <v>36.65</v>
      </c>
      <c r="O35" s="5" t="n">
        <v>0.341162115335465</v>
      </c>
      <c r="P35" s="5" t="n">
        <v>25.2992000579834</v>
      </c>
      <c r="Q35" s="5" t="n">
        <v>0.1757107540173063</v>
      </c>
      <c r="R35" s="5" t="n">
        <v>0.4076655052264809</v>
      </c>
      <c r="S35" s="5" t="n">
        <v>0.482120838471023</v>
      </c>
      <c r="T35" s="5" t="n">
        <v>0.861951515896891</v>
      </c>
    </row>
    <row r="36">
      <c r="A36" s="4" t="n">
        <v>2014</v>
      </c>
      <c r="B36" s="2" t="inlineStr">
        <is>
          <t>KOR</t>
        </is>
      </c>
      <c r="C36" s="4" t="n">
        <v>2321497.5</v>
      </c>
      <c r="D36" s="4" t="n">
        <v>50.539056</v>
      </c>
      <c r="E36" s="4" t="n">
        <v>3.56626725196838</v>
      </c>
      <c r="F36" s="4" t="n">
        <v>86.527716490519</v>
      </c>
      <c r="G36" s="4" t="n">
        <v>89.3</v>
      </c>
      <c r="H36" s="4" t="n">
        <v>45934.72224728535</v>
      </c>
      <c r="I36" s="4" t="n">
        <v>0.8670600355178992</v>
      </c>
      <c r="J36" s="4" t="n">
        <v>0.8564704848515554</v>
      </c>
      <c r="K36" s="4" t="n">
        <v>0.2308734500545471</v>
      </c>
      <c r="L36" s="4" t="n">
        <v>0.02874827737829539</v>
      </c>
      <c r="M36" s="4" t="n">
        <v>0.596</v>
      </c>
      <c r="N36" s="4" t="n">
        <v>35.59</v>
      </c>
      <c r="O36" s="4" t="n">
        <v>0.337840616703033</v>
      </c>
      <c r="P36" s="4" t="n">
        <v>25.8971004486084</v>
      </c>
      <c r="Q36" s="4" t="n">
        <v>0.1586184579804702</v>
      </c>
      <c r="R36" s="4" t="n">
        <v>0.2613240418118467</v>
      </c>
      <c r="S36" s="4" t="n">
        <v>0.3514180024660915</v>
      </c>
      <c r="T36" s="4" t="n">
        <v>0.9070953937178614</v>
      </c>
    </row>
    <row r="37">
      <c r="A37" s="5" t="n">
        <v>2015</v>
      </c>
      <c r="B37" s="3" t="inlineStr">
        <is>
          <t>KOR</t>
        </is>
      </c>
      <c r="C37" s="5" t="n">
        <v>2389292.25</v>
      </c>
      <c r="D37" s="5" t="n">
        <v>50.983912</v>
      </c>
      <c r="E37" s="5" t="n">
        <v>3.59128332138062</v>
      </c>
      <c r="F37" s="5" t="n">
        <v>89.4390554443509</v>
      </c>
      <c r="G37" s="5" t="n">
        <v>100</v>
      </c>
      <c r="H37" s="5" t="n">
        <v>46863.65083165843</v>
      </c>
      <c r="I37" s="5" t="n">
        <v>0.8874450337216224</v>
      </c>
      <c r="J37" s="5" t="n">
        <v>0.8747649443110921</v>
      </c>
      <c r="K37" s="5" t="n">
        <v>0.5650746976895572</v>
      </c>
      <c r="L37" s="5" t="n">
        <v>0.1002846885289375</v>
      </c>
      <c r="M37" s="5" t="n">
        <v>0.267</v>
      </c>
      <c r="N37" s="5" t="n">
        <v>34.67</v>
      </c>
      <c r="O37" s="5" t="n">
        <v>0.320258378982544</v>
      </c>
      <c r="P37" s="5" t="n">
        <v>26.2476005554199</v>
      </c>
      <c r="Q37" s="5" t="n">
        <v>0.06814098218859053</v>
      </c>
      <c r="R37" s="5" t="n">
        <v>0.0975609756097561</v>
      </c>
      <c r="S37" s="5" t="n">
        <v>0.2379778051787916</v>
      </c>
      <c r="T37" s="5" t="n">
        <v>0.9335595577261764</v>
      </c>
    </row>
    <row r="38">
      <c r="A38" s="4" t="n">
        <v>2016</v>
      </c>
      <c r="B38" s="2" t="inlineStr">
        <is>
          <t>KOR</t>
        </is>
      </c>
      <c r="C38" s="4" t="n">
        <v>2465069.25</v>
      </c>
      <c r="D38" s="4" t="n">
        <v>51.297839</v>
      </c>
      <c r="E38" s="4" t="n">
        <v>3.62420678138733</v>
      </c>
      <c r="F38" s="4" t="n">
        <v>89.8692717580014</v>
      </c>
      <c r="G38" s="4" t="n">
        <v>101</v>
      </c>
      <c r="H38" s="4" t="n">
        <v>48054.05642916069</v>
      </c>
      <c r="I38" s="4" t="n">
        <v>0.9135680493925878</v>
      </c>
      <c r="J38" s="4" t="n">
        <v>0.8988421442274673</v>
      </c>
      <c r="K38" s="4" t="n">
        <v>0.6144605064376907</v>
      </c>
      <c r="L38" s="4" t="n">
        <v>0.1069703344308666</v>
      </c>
      <c r="M38" s="4" t="n">
        <v>0.767</v>
      </c>
      <c r="N38" s="4" t="n">
        <v>35.13</v>
      </c>
      <c r="O38" s="4" t="n">
        <v>0.32539775967598</v>
      </c>
      <c r="P38" s="4" t="n">
        <v>26.4659996032715</v>
      </c>
      <c r="Q38" s="4" t="n">
        <v>0.09458802491818211</v>
      </c>
      <c r="R38" s="4" t="n">
        <v>0.3464410154305625</v>
      </c>
      <c r="S38" s="4" t="n">
        <v>0.2946979038224415</v>
      </c>
      <c r="T38" s="4" t="n">
        <v>0.9500495618924599</v>
      </c>
    </row>
    <row r="39">
      <c r="A39" s="5" t="n">
        <v>2017</v>
      </c>
      <c r="B39" s="3" t="inlineStr">
        <is>
          <t>KOR</t>
        </is>
      </c>
      <c r="C39" s="5" t="n">
        <v>2549699.75</v>
      </c>
      <c r="D39" s="5" t="n">
        <v>51.48627</v>
      </c>
      <c r="E39" s="5" t="n">
        <v>3.65777683258057</v>
      </c>
      <c r="F39" s="5" t="n">
        <v>89.2667978483848</v>
      </c>
      <c r="G39" s="5" t="n">
        <v>100.6</v>
      </c>
      <c r="H39" s="5" t="n">
        <v>49521.93565391317</v>
      </c>
      <c r="I39" s="5" t="n">
        <v>0.9457801223799382</v>
      </c>
      <c r="J39" s="5" t="n">
        <v>0.9233922016521081</v>
      </c>
      <c r="K39" s="5" t="n">
        <v>0.5453007364987084</v>
      </c>
      <c r="L39" s="5" t="n">
        <v>0.1042960760700949</v>
      </c>
      <c r="M39" s="5" t="n">
        <v>1.047</v>
      </c>
      <c r="N39" s="5" t="n">
        <v>35.87</v>
      </c>
      <c r="O39" s="5" t="n">
        <v>0.35103115439415</v>
      </c>
      <c r="P39" s="5" t="n">
        <v>26.7868995666504</v>
      </c>
      <c r="Q39" s="5" t="n">
        <v>0.2264964251427024</v>
      </c>
      <c r="R39" s="5" t="n">
        <v>0.485813837730214</v>
      </c>
      <c r="S39" s="5" t="n">
        <v>0.3859432799013558</v>
      </c>
      <c r="T39" s="5" t="n">
        <v>0.9742787963379966</v>
      </c>
    </row>
    <row r="40">
      <c r="A40" s="4" t="n">
        <v>2018</v>
      </c>
      <c r="B40" s="2" t="inlineStr">
        <is>
          <t>KOR</t>
        </is>
      </c>
      <c r="C40" s="4" t="n">
        <v>2630681.25</v>
      </c>
      <c r="D40" s="4" t="n">
        <v>51.640894</v>
      </c>
      <c r="E40" s="4" t="n">
        <v>3.69200992584229</v>
      </c>
      <c r="F40" s="4" t="n">
        <v>87.5926002315728</v>
      </c>
      <c r="G40" s="4" t="n">
        <v>95.40000000000001</v>
      </c>
      <c r="H40" s="4" t="n">
        <v>50941.82238595637</v>
      </c>
      <c r="I40" s="4" t="n">
        <v>0.9769390176589818</v>
      </c>
      <c r="J40" s="4" t="n">
        <v>0.948427147251701</v>
      </c>
      <c r="K40" s="4" t="n">
        <v>0.353114618290215</v>
      </c>
      <c r="L40" s="4" t="n">
        <v>0.06953071738006335</v>
      </c>
      <c r="M40" s="4" t="n">
        <v>0.668</v>
      </c>
      <c r="N40" s="4" t="n">
        <v>34.78</v>
      </c>
      <c r="O40" s="4" t="n">
        <v>0.347224324941635</v>
      </c>
      <c r="P40" s="4" t="n">
        <v>26.8222045898438</v>
      </c>
      <c r="Q40" s="4" t="n">
        <v>0.2069066365669079</v>
      </c>
      <c r="R40" s="4" t="n">
        <v>0.2971627675460429</v>
      </c>
      <c r="S40" s="4" t="n">
        <v>0.25154130702836</v>
      </c>
      <c r="T40" s="4" t="n">
        <v>0.9769444672064221</v>
      </c>
    </row>
    <row r="41">
      <c r="A41" s="5" t="n">
        <v>2019</v>
      </c>
      <c r="B41" s="3" t="inlineStr">
        <is>
          <t>KOR</t>
        </is>
      </c>
      <c r="C41" s="5" t="n">
        <v>2691549.75</v>
      </c>
      <c r="D41" s="5" t="n">
        <v>51.767846</v>
      </c>
      <c r="E41" s="5" t="n">
        <v>3.72692227363586</v>
      </c>
      <c r="F41" s="5" t="n">
        <v>87.39752052955311</v>
      </c>
      <c r="G41" s="5" t="n">
        <v>91.5</v>
      </c>
      <c r="H41" s="5" t="n">
        <v>51992.69349549525</v>
      </c>
      <c r="I41" s="5" t="n">
        <v>1</v>
      </c>
      <c r="J41" s="5" t="n">
        <v>0.9739588373354433</v>
      </c>
      <c r="K41" s="5" t="n">
        <v>0.3307208397446292</v>
      </c>
      <c r="L41" s="5" t="n">
        <v>0.04345669836253956</v>
      </c>
      <c r="M41" s="5" t="n">
        <v>0.55</v>
      </c>
      <c r="N41" s="5" t="n">
        <v>33.32</v>
      </c>
      <c r="O41" s="5" t="n">
        <v>0.343030571937561</v>
      </c>
      <c r="P41" s="5" t="n">
        <v>27.1275596618652</v>
      </c>
      <c r="Q41" s="5" t="n">
        <v>0.1853257552288596</v>
      </c>
      <c r="R41" s="5" t="n">
        <v>0.2384270781483325</v>
      </c>
      <c r="S41" s="5" t="n">
        <v>0.07151664611590608</v>
      </c>
      <c r="T41" s="5" t="n">
        <v>1</v>
      </c>
    </row>
    <row r="42">
      <c r="A42" s="4" t="n">
        <v>2020</v>
      </c>
      <c r="B42" s="2" t="inlineStr">
        <is>
          <t>KOR</t>
        </is>
      </c>
      <c r="C42" s="4" t="n">
        <v>2672702.75</v>
      </c>
      <c r="D42" s="4" t="n">
        <v>51.858482</v>
      </c>
      <c r="E42" s="4" t="n">
        <v>3.76253128051758</v>
      </c>
      <c r="F42" s="4" t="n">
        <v>89.3886079693593</v>
      </c>
      <c r="G42" s="4" t="n">
        <v>94.90000000000001</v>
      </c>
      <c r="H42" s="4" t="n">
        <v>51538.39154026915</v>
      </c>
      <c r="I42" s="4" t="n">
        <v>0.9900305096677781</v>
      </c>
      <c r="J42" s="4" t="n">
        <v>1</v>
      </c>
      <c r="K42" s="4" t="n">
        <v>0.5592836821638527</v>
      </c>
      <c r="L42" s="4" t="n">
        <v>0.06618789442909877</v>
      </c>
      <c r="M42" s="4" t="n">
        <v>0.503</v>
      </c>
      <c r="N42" s="4" t="n">
        <v>33.15</v>
      </c>
      <c r="O42" s="4" t="n">
        <v>0.344289779663086</v>
      </c>
      <c r="P42" s="4" t="n">
        <v>26.9212226867676</v>
      </c>
      <c r="Q42" s="4" t="n">
        <v>0.1918055866538648</v>
      </c>
      <c r="R42" s="4" t="n">
        <v>0.2150323544051767</v>
      </c>
      <c r="S42" s="4" t="n">
        <v>0.0505548705302092</v>
      </c>
      <c r="T42" s="4" t="n">
        <v>0.9844207307106496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5" customWidth="1" min="3" max="3"/>
    <col width="15" customWidth="1" min="4" max="4"/>
    <col width="30" customWidth="1" min="5" max="5"/>
    <col width="60" customWidth="1" min="6" max="6"/>
  </cols>
  <sheetData>
    <row r="1">
      <c r="A1" s="1" t="inlineStr">
        <is>
          <t>Variable</t>
        </is>
      </c>
      <c r="B1" s="1" t="inlineStr">
        <is>
          <t>Descripción</t>
        </is>
      </c>
      <c r="C1" s="1" t="inlineStr">
        <is>
          <t>Fuente</t>
        </is>
      </c>
      <c r="D1" s="1" t="inlineStr">
        <is>
          <t>Unidad</t>
        </is>
      </c>
      <c r="E1" s="1" t="inlineStr">
        <is>
          <t>Transformación</t>
        </is>
      </c>
      <c r="F1" s="6" t="inlineStr">
        <is>
          <t>Link de Referencia</t>
        </is>
      </c>
    </row>
    <row r="2">
      <c r="A2" s="2" t="inlineStr">
        <is>
          <t>year</t>
        </is>
      </c>
      <c r="B2" s="2" t="inlineStr">
        <is>
          <t>Año del registro</t>
        </is>
      </c>
      <c r="C2" s="2" t="inlineStr">
        <is>
          <t>PWT 11.0</t>
        </is>
      </c>
      <c r="D2" s="2" t="inlineStr">
        <is>
          <t>Año</t>
        </is>
      </c>
      <c r="E2" s="2" t="inlineStr">
        <is>
          <t>Ninguna</t>
        </is>
      </c>
      <c r="F2" s="7" t="inlineStr">
        <is>
          <t>https://www.rug.nl/ggdc/productivity/pwt/</t>
        </is>
      </c>
    </row>
    <row r="3">
      <c r="A3" s="3" t="inlineStr">
        <is>
          <t>country</t>
        </is>
      </c>
      <c r="B3" s="3" t="inlineStr">
        <is>
          <t>Nombre del país</t>
        </is>
      </c>
      <c r="C3" s="3" t="inlineStr">
        <is>
          <t>PWT 11.0</t>
        </is>
      </c>
      <c r="D3" s="3" t="inlineStr">
        <is>
          <t>Texto</t>
        </is>
      </c>
      <c r="E3" s="3" t="inlineStr">
        <is>
          <t>Ninguna</t>
        </is>
      </c>
      <c r="F3" s="7" t="inlineStr">
        <is>
          <t>https://www.rug.nl/ggdc/productivity/pwt/</t>
        </is>
      </c>
    </row>
    <row r="4">
      <c r="A4" s="2" t="inlineStr">
        <is>
          <t>gdp_pc</t>
        </is>
      </c>
      <c r="B4" s="2" t="inlineStr">
        <is>
          <t>PIB per cápita (PPA constantes)</t>
        </is>
      </c>
      <c r="C4" s="2" t="inlineStr">
        <is>
          <t>PWT 11.0</t>
        </is>
      </c>
      <c r="D4" s="2" t="inlineStr">
        <is>
          <t>USD</t>
        </is>
      </c>
      <c r="E4" s="2" t="inlineStr">
        <is>
          <t>Ninguna</t>
        </is>
      </c>
      <c r="F4" s="7" t="inlineStr">
        <is>
          <t>https://data.worldbank.org/indicator/NY.GDP.PCAP.PP.KD?locations=KR</t>
        </is>
      </c>
    </row>
    <row r="5">
      <c r="A5" s="3" t="inlineStr">
        <is>
          <t>hc</t>
        </is>
      </c>
      <c r="B5" s="3" t="inlineStr">
        <is>
          <t>Índice de Capital Humano</t>
        </is>
      </c>
      <c r="C5" s="3" t="inlineStr">
        <is>
          <t>PWT 11.0</t>
        </is>
      </c>
      <c r="D5" s="3" t="inlineStr">
        <is>
          <t>Índice</t>
        </is>
      </c>
      <c r="E5" s="3" t="inlineStr">
        <is>
          <t>Ninguna</t>
        </is>
      </c>
      <c r="F5" s="7" t="inlineStr">
        <is>
          <t>https://www.rug.nl/ggdc/productivity/pwt/</t>
        </is>
      </c>
    </row>
    <row r="6">
      <c r="A6" s="2" t="inlineStr">
        <is>
          <t>manuf_exports</t>
        </is>
      </c>
      <c r="B6" s="2" t="inlineStr">
        <is>
          <t>Exportaciones de manufacturas</t>
        </is>
      </c>
      <c r="C6" s="2" t="inlineStr">
        <is>
          <t>Banco Mundial</t>
        </is>
      </c>
      <c r="D6" s="2" t="inlineStr">
        <is>
          <t>% Exp</t>
        </is>
      </c>
      <c r="E6" s="2" t="inlineStr">
        <is>
          <t>Ninguna</t>
        </is>
      </c>
      <c r="F6" t="inlineStr">
        <is>
          <t>N/A (Transformada)</t>
        </is>
      </c>
    </row>
    <row r="7">
      <c r="A7" s="3" t="inlineStr">
        <is>
          <t>terms_of_trade</t>
        </is>
      </c>
      <c r="B7" s="3" t="inlineStr">
        <is>
          <t>Relación Real de Intercambio</t>
        </is>
      </c>
      <c r="C7" s="3" t="inlineStr">
        <is>
          <t>Banco Mundial</t>
        </is>
      </c>
      <c r="D7" s="3" t="inlineStr">
        <is>
          <t>Índice</t>
        </is>
      </c>
      <c r="E7" s="3" t="inlineStr">
        <is>
          <t>Ninguna</t>
        </is>
      </c>
      <c r="F7" t="inlineStr">
        <is>
          <t>N/A (Transformada)</t>
        </is>
      </c>
    </row>
    <row r="8">
      <c r="A8" s="2" t="inlineStr">
        <is>
          <t>csh_i</t>
        </is>
      </c>
      <c r="B8" s="2" t="inlineStr">
        <is>
          <t>Tasa de Inversión (GFCF share)</t>
        </is>
      </c>
      <c r="C8" s="2" t="inlineStr">
        <is>
          <t>PWT 11.0</t>
        </is>
      </c>
      <c r="D8" s="2" t="inlineStr">
        <is>
          <t>Ratio</t>
        </is>
      </c>
      <c r="E8" s="2" t="inlineStr">
        <is>
          <t>Ninguna</t>
        </is>
      </c>
      <c r="F8" s="7" t="inlineStr">
        <is>
          <t>https://www.rug.nl/ggdc/productivity/pwt/</t>
        </is>
      </c>
    </row>
    <row r="9">
      <c r="A9" s="3" t="inlineStr">
        <is>
          <t>emp</t>
        </is>
      </c>
      <c r="B9" s="3" t="inlineStr">
        <is>
          <t>Número de personas empleadas</t>
        </is>
      </c>
      <c r="C9" s="3" t="inlineStr">
        <is>
          <t>PWT 11.0</t>
        </is>
      </c>
      <c r="D9" s="3" t="inlineStr">
        <is>
          <t>Millones</t>
        </is>
      </c>
      <c r="E9" s="3" t="inlineStr">
        <is>
          <t>Ninguna</t>
        </is>
      </c>
      <c r="F9" s="7" t="inlineStr">
        <is>
          <t>https://www.rug.nl/ggdc/productivity/pwt/</t>
        </is>
      </c>
    </row>
    <row r="10">
      <c r="A10" s="2" t="inlineStr">
        <is>
          <t>fdi_pct_gdp</t>
        </is>
      </c>
      <c r="B10" s="2" t="inlineStr">
        <is>
          <t>Inversión Extranjera Directa</t>
        </is>
      </c>
      <c r="C10" s="2" t="inlineStr">
        <is>
          <t>Banco Mundial</t>
        </is>
      </c>
      <c r="D10" s="2" t="inlineStr">
        <is>
          <t>% PIB</t>
        </is>
      </c>
      <c r="E10" s="2" t="inlineStr">
        <is>
          <t>Ninguna</t>
        </is>
      </c>
      <c r="F10" s="7" t="inlineStr">
        <is>
          <t>https://data.worldbank.org/indicator/BX.KLT.DINV.WD.GD.ZS?locations=KR</t>
        </is>
      </c>
    </row>
    <row r="11">
      <c r="A11" s="3" t="inlineStr">
        <is>
          <t>ind_va_pct</t>
        </is>
      </c>
      <c r="B11" s="3" t="inlineStr">
        <is>
          <t>Valor Agregado Industrial</t>
        </is>
      </c>
      <c r="C11" s="3" t="inlineStr">
        <is>
          <t>Banco Mundial</t>
        </is>
      </c>
      <c r="D11" s="3" t="inlineStr">
        <is>
          <t>% PIB</t>
        </is>
      </c>
      <c r="E11" s="3" t="inlineStr">
        <is>
          <t>Ninguna</t>
        </is>
      </c>
      <c r="F11" s="7" t="inlineStr">
        <is>
          <t>https://data.worldbank.org/indicator/NV.IND.TOTL.ZS?locations=KR</t>
        </is>
      </c>
    </row>
    <row r="12">
      <c r="A12" s="2" t="inlineStr">
        <is>
          <t>gdp_pc_norm</t>
        </is>
      </c>
      <c r="B12" s="2" t="inlineStr">
        <is>
          <t>PIB pc Normalizado</t>
        </is>
      </c>
      <c r="C12" s="2" t="inlineStr">
        <is>
          <t>Cálculo propio</t>
        </is>
      </c>
      <c r="D12" s="2" t="inlineStr">
        <is>
          <t>0 - 1</t>
        </is>
      </c>
      <c r="E12" s="2" t="inlineStr">
        <is>
          <t>Min-Max Scaling</t>
        </is>
      </c>
      <c r="F12" t="inlineStr">
        <is>
          <t>N/A (Transformada)</t>
        </is>
      </c>
    </row>
    <row r="13">
      <c r="A13" s="3" t="inlineStr">
        <is>
          <t>hc_norm</t>
        </is>
      </c>
      <c r="B13" s="3" t="inlineStr">
        <is>
          <t>Capital Humano Normalizado</t>
        </is>
      </c>
      <c r="C13" s="3" t="inlineStr">
        <is>
          <t>Cálculo propio</t>
        </is>
      </c>
      <c r="D13" s="3" t="inlineStr">
        <is>
          <t>0 - 1</t>
        </is>
      </c>
      <c r="E13" s="3" t="inlineStr">
        <is>
          <t>Min-Max Scaling</t>
        </is>
      </c>
      <c r="F13" t="inlineStr">
        <is>
          <t>N/A (Transformada)</t>
        </is>
      </c>
    </row>
    <row r="14">
      <c r="A14" s="2" t="inlineStr">
        <is>
          <t>manuf_norm</t>
        </is>
      </c>
      <c r="B14" s="2" t="inlineStr">
        <is>
          <t>Manufacturas Normalizado</t>
        </is>
      </c>
      <c r="C14" s="2" t="inlineStr">
        <is>
          <t>Cálculo propio</t>
        </is>
      </c>
      <c r="D14" s="2" t="inlineStr">
        <is>
          <t>0 - 1</t>
        </is>
      </c>
      <c r="E14" s="2" t="inlineStr">
        <is>
          <t>Min-Max Scaling</t>
        </is>
      </c>
      <c r="F14" t="inlineStr">
        <is>
          <t>N/A (Transformada)</t>
        </is>
      </c>
    </row>
    <row r="15">
      <c r="A15" s="3" t="inlineStr">
        <is>
          <t>tot_norm</t>
        </is>
      </c>
      <c r="B15" s="3" t="inlineStr">
        <is>
          <t>RRI Normalizado</t>
        </is>
      </c>
      <c r="C15" s="3" t="inlineStr">
        <is>
          <t>Cálculo propio</t>
        </is>
      </c>
      <c r="D15" s="3" t="inlineStr">
        <is>
          <t>0 - 1</t>
        </is>
      </c>
      <c r="E15" s="3" t="inlineStr">
        <is>
          <t>Min-Max Scaling</t>
        </is>
      </c>
      <c r="F15" t="inlineStr">
        <is>
          <t>N/A (Transformada)</t>
        </is>
      </c>
    </row>
    <row r="16">
      <c r="A16" s="2" t="inlineStr">
        <is>
          <t>csh_i_norm</t>
        </is>
      </c>
      <c r="B16" s="2" t="inlineStr">
        <is>
          <t>Inversión Normalizada</t>
        </is>
      </c>
      <c r="C16" s="2" t="inlineStr">
        <is>
          <t>Cálculo propio</t>
        </is>
      </c>
      <c r="D16" s="2" t="inlineStr">
        <is>
          <t>0 - 1</t>
        </is>
      </c>
      <c r="E16" s="2" t="inlineStr">
        <is>
          <t>Min-Max Scaling</t>
        </is>
      </c>
      <c r="F16" t="inlineStr">
        <is>
          <t>N/A (Transformada)</t>
        </is>
      </c>
    </row>
    <row r="17">
      <c r="A17" s="3" t="inlineStr">
        <is>
          <t>fdi_norm</t>
        </is>
      </c>
      <c r="B17" s="3" t="inlineStr">
        <is>
          <t>IED Normalizada</t>
        </is>
      </c>
      <c r="C17" s="3" t="inlineStr">
        <is>
          <t>Cálculo propio</t>
        </is>
      </c>
      <c r="D17" s="3" t="inlineStr">
        <is>
          <t>0 - 1</t>
        </is>
      </c>
      <c r="E17" s="3" t="inlineStr">
        <is>
          <t>Min-Max Scaling</t>
        </is>
      </c>
      <c r="F17" t="inlineStr">
        <is>
          <t>N/A (Transformada)</t>
        </is>
      </c>
    </row>
    <row r="18">
      <c r="A18" s="2" t="inlineStr">
        <is>
          <t>ind_va_norm</t>
        </is>
      </c>
      <c r="B18" s="2" t="inlineStr">
        <is>
          <t>Industrialización Normalizada</t>
        </is>
      </c>
      <c r="C18" s="2" t="inlineStr">
        <is>
          <t>Cálculo propio</t>
        </is>
      </c>
      <c r="D18" s="2" t="inlineStr">
        <is>
          <t>0 - 1</t>
        </is>
      </c>
      <c r="E18" s="2" t="inlineStr">
        <is>
          <t>Min-Max Scaling</t>
        </is>
      </c>
      <c r="F18" t="inlineStr">
        <is>
          <t>N/A (Transformada)</t>
        </is>
      </c>
    </row>
    <row r="19">
      <c r="A19" s="3" t="inlineStr">
        <is>
          <t>emp_norm</t>
        </is>
      </c>
      <c r="B19" s="3" t="inlineStr">
        <is>
          <t>Empleo Normalizado</t>
        </is>
      </c>
      <c r="C19" s="3" t="inlineStr">
        <is>
          <t>Cálculo propio</t>
        </is>
      </c>
      <c r="D19" s="3" t="inlineStr">
        <is>
          <t>0 - 1</t>
        </is>
      </c>
      <c r="E19" s="3" t="inlineStr">
        <is>
          <t>Min-Max Scaling</t>
        </is>
      </c>
      <c r="F19" t="inlineStr">
        <is>
          <t>N/A (Transformada)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60" customWidth="1" min="3" max="3"/>
  </cols>
  <sheetData>
    <row r="1">
      <c r="A1" s="1" t="inlineStr">
        <is>
          <t>Gráfico / Dimensión</t>
        </is>
      </c>
      <c r="B1" s="1" t="inlineStr">
        <is>
          <t>Hallazgos Clave (Evidencia)</t>
        </is>
      </c>
      <c r="C1" s="1" t="inlineStr">
        <is>
          <t>Interpretación Económica (Vínculo Teórico)</t>
        </is>
      </c>
    </row>
    <row r="2">
      <c r="A2" s="2" t="inlineStr">
        <is>
          <t>Trayectoria de Modernización</t>
        </is>
      </c>
      <c r="B2" s="2" t="inlineStr">
        <is>
          <t>Se observa una correlación positiva casi perfecta entre el Capital Humano y el PIB per cápita desde 1980.</t>
        </is>
      </c>
      <c r="C2" s="2" t="inlineStr">
        <is>
          <t>Confirma la hipótesis de Modernización: la acumulación previa de factores (educación) es el motor que permite la transición a etapas de desarrollo superior.</t>
        </is>
      </c>
    </row>
    <row r="3">
      <c r="A3" s="3" t="inlineStr">
        <is>
          <t>Dinámica de Inversión y IED</t>
        </is>
      </c>
      <c r="B3" s="3" t="inlineStr">
        <is>
          <t>Altas tasas de inversión doméstica que promedian el 35% del PIB, con picos de IED tras la crisis de 1997.</t>
        </is>
      </c>
      <c r="C3" s="3" t="inlineStr">
        <is>
          <t>El modelo coreano se basó en ahorro interno y crédito dirigido. La IED no fue el motor inicial, sino una herramienta de integración global posterior.</t>
        </is>
      </c>
    </row>
    <row r="4">
      <c r="A4" s="2" t="inlineStr">
        <is>
          <t>Estructura Productiva</t>
        </is>
      </c>
      <c r="B4" s="2" t="inlineStr">
        <is>
          <t>Estabilidad en el valor agregado industrial (&gt;30% del PIB) con un crecimiento exponencial en la sofisticación de exportaciones.</t>
        </is>
      </c>
      <c r="C4" s="2" t="inlineStr">
        <is>
          <t>Valida el enfoque Estructuralista: no hubo desindustrialización prematura, sino una mutación hacia manufacturas de alta tecnología y mayor valor agregado.</t>
        </is>
      </c>
    </row>
    <row r="5">
      <c r="A5" s="3" t="inlineStr">
        <is>
          <t>Empleo y Entorno Externo</t>
        </is>
      </c>
      <c r="B5" s="3" t="inlineStr">
        <is>
          <t>Crecimiento resiliente del empleo frente a choques en los términos de intercambio (RRI).</t>
        </is>
      </c>
      <c r="C5" s="3" t="inlineStr">
        <is>
          <t>La economía coreana logró absorber mano de obra de sectores tradicionales a modernos, manteniendo la estabilidad social a pesar de la volatilidad del comercio global.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2026-04-25T14:59:09Z</dcterms:created>
  <dcterms:modified xmlns:dcterms="http://purl.org/dc/terms/" xmlns:xsi="http://www.w3.org/2001/XMLSchema-instance" xsi:type="dcterms:W3CDTF">2026-04-25T15:31:36Z</dcterms:modified>
</cp:coreProperties>
</file>